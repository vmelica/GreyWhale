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valentinamelica/R/GW/data/"/>
    </mc:Choice>
  </mc:AlternateContent>
  <xr:revisionPtr revIDLastSave="0" documentId="13_ncr:1_{2E84FF10-1CE7-4040-A678-B280E3F368FA}" xr6:coauthVersionLast="47" xr6:coauthVersionMax="47" xr10:uidLastSave="{00000000-0000-0000-0000-000000000000}"/>
  <bookViews>
    <workbookView xWindow="36660" yWindow="500" windowWidth="23480" windowHeight="17080" activeTab="6" xr2:uid="{A1D162B4-541C-6B44-ADBE-64BC48873851}"/>
  </bookViews>
  <sheets>
    <sheet name="EXTRACTS" sheetId="1" r:id="rId1"/>
    <sheet name="starnded" sheetId="6" r:id="rId2"/>
    <sheet name="Sheet1" sheetId="9" r:id="rId3"/>
    <sheet name="SUMMARY" sheetId="2" r:id="rId4"/>
    <sheet name="CORTISOL" sheetId="4" r:id="rId5"/>
    <sheet name="ISWE" sheetId="5" r:id="rId6"/>
    <sheet name="CTN" sheetId="3" r:id="rId7"/>
    <sheet name="ProgSTRANDED" sheetId="7" r:id="rId8"/>
    <sheet name="ALDOSTERONE" sheetId="8" r:id="rId9"/>
    <sheet name="Sheet1 (2)" sheetId="10" r:id="rId10"/>
    <sheet name="Inter-assay CV" sheetId="11" r:id="rId11"/>
  </sheets>
  <definedNames>
    <definedName name="_xlnm._FilterDatabase" localSheetId="8" hidden="1">ALDOSTERONE!$A$1:$O$118</definedName>
    <definedName name="_xlnm._FilterDatabase" localSheetId="4" hidden="1">CORTISOL!$A$1:$T$112</definedName>
    <definedName name="_xlnm._FilterDatabase" localSheetId="6" hidden="1">CTN!$A$1:$MD$126</definedName>
    <definedName name="_xlnm._FilterDatabase" localSheetId="0" hidden="1">EXTRACTS!$A$1:$AT$119</definedName>
    <definedName name="_xlnm._FilterDatabase" localSheetId="9" hidden="1">'Sheet1 (2)'!$A$1:$G$39</definedName>
    <definedName name="_xlnm._FilterDatabase" localSheetId="1" hidden="1">starnded!$A$1:$AE$118</definedName>
    <definedName name="_xlnm._FilterDatabase" localSheetId="3" hidden="1">SUMMARY!$A$1:$I$1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51" i="4" l="1"/>
  <c r="O51" i="4" s="1"/>
  <c r="P51" i="4" s="1"/>
  <c r="F3" i="11"/>
  <c r="G3" i="11"/>
  <c r="H3" i="11" s="1"/>
  <c r="G2" i="11"/>
  <c r="H2" i="11" s="1"/>
  <c r="F2" i="11"/>
  <c r="N65" i="4" l="1"/>
  <c r="O65" i="4" s="1"/>
  <c r="P65" i="4" s="1"/>
  <c r="N83" i="4"/>
  <c r="O83" i="4" s="1"/>
  <c r="P83" i="4" s="1"/>
  <c r="AS90" i="1"/>
  <c r="AS6" i="1"/>
  <c r="AS7" i="1"/>
  <c r="AS8" i="1"/>
  <c r="AS9" i="1"/>
  <c r="AS10" i="1"/>
  <c r="AS11" i="1"/>
  <c r="AS17" i="1"/>
  <c r="AS18" i="1"/>
  <c r="AS19" i="1"/>
  <c r="AS27" i="1"/>
  <c r="AS28" i="1"/>
  <c r="AS29" i="1"/>
  <c r="AS38" i="1"/>
  <c r="AS39" i="1"/>
  <c r="AS40" i="1"/>
  <c r="AS42" i="1"/>
  <c r="AS48" i="1"/>
  <c r="AS20" i="1"/>
  <c r="AS21" i="1"/>
  <c r="AS51" i="1"/>
  <c r="AS55" i="1"/>
  <c r="AS56" i="1"/>
  <c r="AS25" i="1"/>
  <c r="AS26" i="1"/>
  <c r="AS57" i="1"/>
  <c r="AS60" i="1"/>
  <c r="AS61" i="1"/>
  <c r="AS65" i="1"/>
  <c r="AS66" i="1"/>
  <c r="AS67" i="1"/>
  <c r="AS33" i="1"/>
  <c r="AS34" i="1"/>
  <c r="AS35" i="1"/>
  <c r="AS36" i="1"/>
  <c r="AS37" i="1"/>
  <c r="AS12" i="1"/>
  <c r="AS13" i="1"/>
  <c r="AS14" i="1"/>
  <c r="AS22" i="1"/>
  <c r="AS23" i="1"/>
  <c r="AS44" i="1"/>
  <c r="AS45" i="1"/>
  <c r="AS24" i="1"/>
  <c r="AS30" i="1"/>
  <c r="AS31" i="1"/>
  <c r="AS32" i="1"/>
  <c r="AS41" i="1"/>
  <c r="AS47" i="1"/>
  <c r="AS52" i="1"/>
  <c r="AS53" i="1"/>
  <c r="AS54" i="1"/>
  <c r="AS49" i="1"/>
  <c r="AS50" i="1"/>
  <c r="AS2" i="1"/>
  <c r="AS58" i="1"/>
  <c r="AS3" i="1"/>
  <c r="AS4" i="1"/>
  <c r="AS15" i="1"/>
  <c r="AS16" i="1"/>
  <c r="AS46" i="1"/>
  <c r="AS59" i="1"/>
  <c r="AS62" i="1"/>
  <c r="AS63" i="1"/>
  <c r="AS64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5" i="1"/>
  <c r="AQ90" i="1"/>
  <c r="I115" i="8"/>
  <c r="J115" i="8" s="1"/>
  <c r="K115" i="8" s="1"/>
  <c r="I114" i="8"/>
  <c r="J114" i="8" s="1"/>
  <c r="K114" i="8" s="1"/>
  <c r="I113" i="8"/>
  <c r="J113" i="8" s="1"/>
  <c r="K113" i="8" s="1"/>
  <c r="I112" i="8"/>
  <c r="J112" i="8" s="1"/>
  <c r="K112" i="8" s="1"/>
  <c r="I111" i="8"/>
  <c r="J111" i="8" s="1"/>
  <c r="K111" i="8" s="1"/>
  <c r="I104" i="8"/>
  <c r="J104" i="8" s="1"/>
  <c r="K104" i="8" s="1"/>
  <c r="I103" i="8"/>
  <c r="J103" i="8" s="1"/>
  <c r="K103" i="8" s="1"/>
  <c r="I95" i="8"/>
  <c r="J95" i="8" s="1"/>
  <c r="K95" i="8" s="1"/>
  <c r="I94" i="8"/>
  <c r="J94" i="8" s="1"/>
  <c r="K94" i="8" s="1"/>
  <c r="I93" i="8"/>
  <c r="J93" i="8" s="1"/>
  <c r="K93" i="8" s="1"/>
  <c r="I86" i="8"/>
  <c r="J86" i="8" s="1"/>
  <c r="K86" i="8" s="1"/>
  <c r="I85" i="8"/>
  <c r="J85" i="8" s="1"/>
  <c r="K85" i="8" s="1"/>
  <c r="I110" i="8"/>
  <c r="J110" i="8" s="1"/>
  <c r="K110" i="8" s="1"/>
  <c r="I109" i="8"/>
  <c r="J109" i="8" s="1"/>
  <c r="K109" i="8" s="1"/>
  <c r="I108" i="8"/>
  <c r="J108" i="8" s="1"/>
  <c r="K108" i="8" s="1"/>
  <c r="I107" i="8"/>
  <c r="J107" i="8" s="1"/>
  <c r="K107" i="8" s="1"/>
  <c r="I106" i="8"/>
  <c r="J106" i="8" s="1"/>
  <c r="K106" i="8" s="1"/>
  <c r="I105" i="8"/>
  <c r="J105" i="8" s="1"/>
  <c r="K105" i="8" s="1"/>
  <c r="I102" i="8"/>
  <c r="J102" i="8" s="1"/>
  <c r="K102" i="8" s="1"/>
  <c r="I101" i="8"/>
  <c r="J101" i="8" s="1"/>
  <c r="K101" i="8" s="1"/>
  <c r="I100" i="8"/>
  <c r="J100" i="8" s="1"/>
  <c r="K100" i="8" s="1"/>
  <c r="I99" i="8"/>
  <c r="J99" i="8" s="1"/>
  <c r="K99" i="8" s="1"/>
  <c r="I98" i="8"/>
  <c r="J98" i="8" s="1"/>
  <c r="K98" i="8" s="1"/>
  <c r="I97" i="8"/>
  <c r="J97" i="8" s="1"/>
  <c r="K97" i="8" s="1"/>
  <c r="I96" i="8"/>
  <c r="J96" i="8" s="1"/>
  <c r="K96" i="8" s="1"/>
  <c r="I92" i="8"/>
  <c r="J92" i="8" s="1"/>
  <c r="K92" i="8" s="1"/>
  <c r="I91" i="8"/>
  <c r="J91" i="8" s="1"/>
  <c r="K91" i="8" s="1"/>
  <c r="I90" i="8"/>
  <c r="J90" i="8" s="1"/>
  <c r="K90" i="8" s="1"/>
  <c r="I89" i="8"/>
  <c r="J89" i="8" s="1"/>
  <c r="K89" i="8" s="1"/>
  <c r="I88" i="8"/>
  <c r="J88" i="8" s="1"/>
  <c r="K88" i="8" s="1"/>
  <c r="I87" i="8"/>
  <c r="J87" i="8" s="1"/>
  <c r="K87" i="8" s="1"/>
  <c r="I84" i="8"/>
  <c r="J84" i="8" s="1"/>
  <c r="K84" i="8" s="1"/>
  <c r="I83" i="8"/>
  <c r="J83" i="8" s="1"/>
  <c r="K83" i="8" s="1"/>
  <c r="I82" i="8"/>
  <c r="J82" i="8" s="1"/>
  <c r="K82" i="8" s="1"/>
  <c r="N73" i="4"/>
  <c r="O73" i="4" s="1"/>
  <c r="P73" i="4" s="1"/>
  <c r="N74" i="4"/>
  <c r="O74" i="4" s="1"/>
  <c r="P74" i="4" s="1"/>
  <c r="N58" i="4"/>
  <c r="O58" i="4" s="1"/>
  <c r="P58" i="4" s="1"/>
  <c r="N59" i="4"/>
  <c r="O59" i="4" s="1"/>
  <c r="P59" i="4" s="1"/>
  <c r="N60" i="4"/>
  <c r="O60" i="4" s="1"/>
  <c r="P60" i="4" s="1"/>
  <c r="N110" i="4"/>
  <c r="O110" i="4" s="1"/>
  <c r="P110" i="4" s="1"/>
  <c r="N111" i="4"/>
  <c r="O111" i="4" s="1"/>
  <c r="P111" i="4" s="1"/>
  <c r="N86" i="4"/>
  <c r="O86" i="4" s="1"/>
  <c r="P86" i="4" s="1"/>
  <c r="N87" i="4"/>
  <c r="O87" i="4" s="1"/>
  <c r="P87" i="4" s="1"/>
  <c r="N88" i="4"/>
  <c r="O88" i="4" s="1"/>
  <c r="P88" i="4" s="1"/>
  <c r="N89" i="4"/>
  <c r="O89" i="4" s="1"/>
  <c r="P89" i="4" s="1"/>
  <c r="N108" i="4"/>
  <c r="O108" i="4" s="1"/>
  <c r="P108" i="4" s="1"/>
  <c r="N109" i="4"/>
  <c r="O109" i="4" s="1"/>
  <c r="P109" i="4" s="1"/>
  <c r="N90" i="4"/>
  <c r="O90" i="4" s="1"/>
  <c r="P90" i="4" s="1"/>
  <c r="N91" i="4"/>
  <c r="O91" i="4" s="1"/>
  <c r="P91" i="4" s="1"/>
  <c r="N98" i="4"/>
  <c r="O98" i="4" s="1"/>
  <c r="P98" i="4" s="1"/>
  <c r="N99" i="4"/>
  <c r="O99" i="4" s="1"/>
  <c r="P99" i="4" s="1"/>
  <c r="N100" i="4"/>
  <c r="O100" i="4" s="1"/>
  <c r="P100" i="4" s="1"/>
  <c r="N101" i="4"/>
  <c r="O101" i="4" s="1"/>
  <c r="P101" i="4" s="1"/>
  <c r="N105" i="4"/>
  <c r="O105" i="4" s="1"/>
  <c r="P105" i="4" s="1"/>
  <c r="N106" i="4"/>
  <c r="O106" i="4" s="1"/>
  <c r="P106" i="4" s="1"/>
  <c r="N107" i="4"/>
  <c r="O107" i="4" s="1"/>
  <c r="P107" i="4" s="1"/>
  <c r="N95" i="4"/>
  <c r="O95" i="4" s="1"/>
  <c r="P95" i="4" s="1"/>
  <c r="N96" i="4"/>
  <c r="O96" i="4" s="1"/>
  <c r="P96" i="4" s="1"/>
  <c r="N97" i="4"/>
  <c r="O97" i="4" s="1"/>
  <c r="P97" i="4" s="1"/>
  <c r="N84" i="4"/>
  <c r="O84" i="4" s="1"/>
  <c r="P84" i="4" s="1"/>
  <c r="N85" i="4"/>
  <c r="O85" i="4" s="1"/>
  <c r="P85" i="4" s="1"/>
  <c r="N72" i="4"/>
  <c r="O72" i="4" s="1"/>
  <c r="P72" i="4" s="1"/>
  <c r="N64" i="4"/>
  <c r="O64" i="4" s="1"/>
  <c r="P64" i="4" s="1"/>
  <c r="N61" i="4"/>
  <c r="O61" i="4" s="1"/>
  <c r="P61" i="4" s="1"/>
  <c r="N62" i="4"/>
  <c r="O62" i="4" s="1"/>
  <c r="P62" i="4" s="1"/>
  <c r="N63" i="4"/>
  <c r="O63" i="4" s="1"/>
  <c r="P63" i="4" s="1"/>
  <c r="N50" i="4"/>
  <c r="O50" i="4" s="1"/>
  <c r="P50" i="4" s="1"/>
  <c r="N52" i="4"/>
  <c r="O52" i="4" s="1"/>
  <c r="P52" i="4" s="1"/>
  <c r="N44" i="4"/>
  <c r="O44" i="4" s="1"/>
  <c r="P44" i="4" s="1"/>
  <c r="N45" i="4"/>
  <c r="O45" i="4" s="1"/>
  <c r="P45" i="4" s="1"/>
  <c r="N46" i="4"/>
  <c r="O46" i="4" s="1"/>
  <c r="P46" i="4" s="1"/>
  <c r="N104" i="4"/>
  <c r="O104" i="4" s="1"/>
  <c r="P104" i="4" s="1"/>
  <c r="N103" i="4"/>
  <c r="O103" i="4" s="1"/>
  <c r="P103" i="4" s="1"/>
  <c r="N102" i="4"/>
  <c r="O102" i="4" s="1"/>
  <c r="P102" i="4" s="1"/>
  <c r="N71" i="4"/>
  <c r="O71" i="4" s="1"/>
  <c r="P71" i="4" s="1"/>
  <c r="N80" i="4"/>
  <c r="O80" i="4" s="1"/>
  <c r="P80" i="4" s="1"/>
  <c r="N5" i="4"/>
  <c r="O5" i="4" s="1"/>
  <c r="P5" i="4" s="1"/>
  <c r="N68" i="4"/>
  <c r="O68" i="4" s="1"/>
  <c r="P68" i="4" s="1"/>
  <c r="N28" i="4"/>
  <c r="O28" i="4" s="1"/>
  <c r="P28" i="4" s="1"/>
  <c r="L125" i="3"/>
  <c r="M125" i="3" s="1"/>
  <c r="N125" i="3" s="1"/>
  <c r="L126" i="3"/>
  <c r="M126" i="3" s="1"/>
  <c r="N126" i="3" s="1"/>
  <c r="L105" i="3"/>
  <c r="M105" i="3" s="1"/>
  <c r="N105" i="3" s="1"/>
  <c r="L106" i="3"/>
  <c r="M106" i="3" s="1"/>
  <c r="N106" i="3" s="1"/>
  <c r="L107" i="3"/>
  <c r="M107" i="3" s="1"/>
  <c r="N107" i="3" s="1"/>
  <c r="L108" i="3"/>
  <c r="M108" i="3" s="1"/>
  <c r="N108" i="3" s="1"/>
  <c r="L109" i="3"/>
  <c r="M109" i="3" s="1"/>
  <c r="N109" i="3" s="1"/>
  <c r="L110" i="3"/>
  <c r="M110" i="3" s="1"/>
  <c r="N110" i="3" s="1"/>
  <c r="L111" i="3"/>
  <c r="M111" i="3" s="1"/>
  <c r="N111" i="3" s="1"/>
  <c r="L112" i="3"/>
  <c r="M112" i="3" s="1"/>
  <c r="N112" i="3" s="1"/>
  <c r="L113" i="3"/>
  <c r="M113" i="3" s="1"/>
  <c r="N113" i="3" s="1"/>
  <c r="L114" i="3"/>
  <c r="M114" i="3" s="1"/>
  <c r="N114" i="3" s="1"/>
  <c r="L115" i="3"/>
  <c r="M115" i="3" s="1"/>
  <c r="N115" i="3" s="1"/>
  <c r="L116" i="3"/>
  <c r="M116" i="3" s="1"/>
  <c r="N116" i="3" s="1"/>
  <c r="L117" i="3"/>
  <c r="M117" i="3" s="1"/>
  <c r="N117" i="3" s="1"/>
  <c r="L118" i="3"/>
  <c r="M118" i="3" s="1"/>
  <c r="N118" i="3" s="1"/>
  <c r="L119" i="3"/>
  <c r="M119" i="3" s="1"/>
  <c r="N119" i="3" s="1"/>
  <c r="L120" i="3"/>
  <c r="M120" i="3" s="1"/>
  <c r="N120" i="3" s="1"/>
  <c r="L121" i="3"/>
  <c r="M121" i="3" s="1"/>
  <c r="N121" i="3" s="1"/>
  <c r="L122" i="3"/>
  <c r="M122" i="3" s="1"/>
  <c r="N122" i="3" s="1"/>
  <c r="L123" i="3"/>
  <c r="M123" i="3" s="1"/>
  <c r="N123" i="3" s="1"/>
  <c r="L124" i="3"/>
  <c r="M124" i="3" s="1"/>
  <c r="N124" i="3" s="1"/>
  <c r="N16" i="4"/>
  <c r="O16" i="4" s="1"/>
  <c r="P16" i="4" s="1"/>
  <c r="N35" i="4"/>
  <c r="O35" i="4" s="1"/>
  <c r="P35" i="4" s="1"/>
  <c r="N20" i="4"/>
  <c r="O20" i="4" s="1"/>
  <c r="P20" i="4" s="1"/>
  <c r="N8" i="4"/>
  <c r="O8" i="4" s="1"/>
  <c r="P8" i="4" s="1"/>
  <c r="N39" i="4"/>
  <c r="O39" i="4" s="1"/>
  <c r="P39" i="4" s="1"/>
  <c r="N12" i="4"/>
  <c r="N31" i="4"/>
  <c r="O31" i="4" s="1"/>
  <c r="P31" i="4" s="1"/>
  <c r="N53" i="4"/>
  <c r="O53" i="4" s="1"/>
  <c r="P53" i="4" s="1"/>
  <c r="N54" i="4"/>
  <c r="O54" i="4" s="1"/>
  <c r="P54" i="4" s="1"/>
  <c r="N55" i="4"/>
  <c r="O55" i="4" s="1"/>
  <c r="P55" i="4" s="1"/>
  <c r="N56" i="4"/>
  <c r="O56" i="4" s="1"/>
  <c r="P56" i="4" s="1"/>
  <c r="N57" i="4"/>
  <c r="O57" i="4" s="1"/>
  <c r="P57" i="4" s="1"/>
  <c r="N47" i="4"/>
  <c r="O47" i="4" s="1"/>
  <c r="P47" i="4" s="1"/>
  <c r="N48" i="4"/>
  <c r="O48" i="4" s="1"/>
  <c r="P48" i="4" s="1"/>
  <c r="N49" i="4"/>
  <c r="O49" i="4" s="1"/>
  <c r="P49" i="4" s="1"/>
  <c r="N69" i="4"/>
  <c r="O69" i="4" s="1"/>
  <c r="P69" i="4" s="1"/>
  <c r="N70" i="4"/>
  <c r="O70" i="4" s="1"/>
  <c r="P70" i="4" s="1"/>
  <c r="N75" i="4"/>
  <c r="O75" i="4" s="1"/>
  <c r="P75" i="4" s="1"/>
  <c r="N76" i="4"/>
  <c r="O76" i="4" s="1"/>
  <c r="P76" i="4" s="1"/>
  <c r="N77" i="4"/>
  <c r="O77" i="4" s="1"/>
  <c r="P77" i="4" s="1"/>
  <c r="N92" i="4"/>
  <c r="O92" i="4" s="1"/>
  <c r="P92" i="4" s="1"/>
  <c r="N93" i="4"/>
  <c r="O93" i="4" s="1"/>
  <c r="P93" i="4" s="1"/>
  <c r="N94" i="4"/>
  <c r="O94" i="4" s="1"/>
  <c r="P94" i="4" s="1"/>
  <c r="L73" i="3"/>
  <c r="M73" i="3" s="1"/>
  <c r="N73" i="3" s="1"/>
  <c r="L74" i="3"/>
  <c r="M74" i="3" s="1"/>
  <c r="N74" i="3" s="1"/>
  <c r="L75" i="3"/>
  <c r="M75" i="3" s="1"/>
  <c r="N75" i="3" s="1"/>
  <c r="L76" i="3"/>
  <c r="M76" i="3" s="1"/>
  <c r="N76" i="3" s="1"/>
  <c r="L77" i="3"/>
  <c r="M77" i="3" s="1"/>
  <c r="N77" i="3" s="1"/>
  <c r="L78" i="3"/>
  <c r="M78" i="3" s="1"/>
  <c r="N78" i="3" s="1"/>
  <c r="L79" i="3"/>
  <c r="M79" i="3" s="1"/>
  <c r="N79" i="3" s="1"/>
  <c r="L80" i="3"/>
  <c r="M80" i="3" s="1"/>
  <c r="N80" i="3" s="1"/>
  <c r="L81" i="3"/>
  <c r="M81" i="3" s="1"/>
  <c r="N81" i="3" s="1"/>
  <c r="L82" i="3"/>
  <c r="M82" i="3" s="1"/>
  <c r="N82" i="3" s="1"/>
  <c r="L83" i="3"/>
  <c r="M83" i="3" s="1"/>
  <c r="N83" i="3" s="1"/>
  <c r="L84" i="3"/>
  <c r="M84" i="3" s="1"/>
  <c r="N84" i="3" s="1"/>
  <c r="L85" i="3"/>
  <c r="M85" i="3" s="1"/>
  <c r="N85" i="3" s="1"/>
  <c r="L86" i="3"/>
  <c r="M86" i="3" s="1"/>
  <c r="N86" i="3" s="1"/>
  <c r="L87" i="3"/>
  <c r="M87" i="3" s="1"/>
  <c r="N87" i="3" s="1"/>
  <c r="L88" i="3"/>
  <c r="M88" i="3" s="1"/>
  <c r="N88" i="3" s="1"/>
  <c r="L89" i="3"/>
  <c r="M89" i="3" s="1"/>
  <c r="N89" i="3" s="1"/>
  <c r="L90" i="3"/>
  <c r="M90" i="3" s="1"/>
  <c r="N90" i="3" s="1"/>
  <c r="L91" i="3"/>
  <c r="M91" i="3" s="1"/>
  <c r="N91" i="3" s="1"/>
  <c r="L92" i="3"/>
  <c r="M92" i="3" s="1"/>
  <c r="N92" i="3" s="1"/>
  <c r="L93" i="3"/>
  <c r="M93" i="3" s="1"/>
  <c r="N93" i="3" s="1"/>
  <c r="L94" i="3"/>
  <c r="M94" i="3" s="1"/>
  <c r="N94" i="3" s="1"/>
  <c r="L95" i="3"/>
  <c r="M95" i="3" s="1"/>
  <c r="N95" i="3" s="1"/>
  <c r="L96" i="3"/>
  <c r="M96" i="3" s="1"/>
  <c r="N96" i="3" s="1"/>
  <c r="L97" i="3"/>
  <c r="M97" i="3" s="1"/>
  <c r="N97" i="3" s="1"/>
  <c r="L98" i="3"/>
  <c r="M98" i="3" s="1"/>
  <c r="N98" i="3" s="1"/>
  <c r="L99" i="3"/>
  <c r="M99" i="3" s="1"/>
  <c r="N99" i="3" s="1"/>
  <c r="L100" i="3"/>
  <c r="M100" i="3" s="1"/>
  <c r="N100" i="3" s="1"/>
  <c r="L101" i="3"/>
  <c r="M101" i="3" s="1"/>
  <c r="N101" i="3" s="1"/>
  <c r="L102" i="3"/>
  <c r="M102" i="3" s="1"/>
  <c r="N102" i="3" s="1"/>
  <c r="L103" i="3"/>
  <c r="M103" i="3" s="1"/>
  <c r="N103" i="3" s="1"/>
  <c r="L104" i="3"/>
  <c r="M104" i="3" s="1"/>
  <c r="N104" i="3" s="1"/>
  <c r="L72" i="3"/>
  <c r="M72" i="3" s="1"/>
  <c r="N72" i="3" s="1"/>
  <c r="L71" i="3"/>
  <c r="M71" i="3" s="1"/>
  <c r="N71" i="3" s="1"/>
  <c r="L70" i="3"/>
  <c r="M70" i="3" s="1"/>
  <c r="N70" i="3" s="1"/>
  <c r="L69" i="3"/>
  <c r="M69" i="3" s="1"/>
  <c r="N69" i="3" s="1"/>
  <c r="L68" i="3"/>
  <c r="M68" i="3" s="1"/>
  <c r="N68" i="3" s="1"/>
  <c r="I47" i="8"/>
  <c r="J47" i="8" s="1"/>
  <c r="K47" i="8" s="1"/>
  <c r="I48" i="8"/>
  <c r="J48" i="8" s="1"/>
  <c r="K48" i="8" s="1"/>
  <c r="I49" i="8"/>
  <c r="J49" i="8" s="1"/>
  <c r="K49" i="8" s="1"/>
  <c r="I50" i="8"/>
  <c r="J50" i="8" s="1"/>
  <c r="K50" i="8" s="1"/>
  <c r="I51" i="8"/>
  <c r="J51" i="8" s="1"/>
  <c r="K51" i="8" s="1"/>
  <c r="I52" i="8"/>
  <c r="J52" i="8" s="1"/>
  <c r="K52" i="8" s="1"/>
  <c r="I53" i="8"/>
  <c r="J53" i="8" s="1"/>
  <c r="K53" i="8" s="1"/>
  <c r="I54" i="8"/>
  <c r="J54" i="8" s="1"/>
  <c r="K54" i="8" s="1"/>
  <c r="I55" i="8"/>
  <c r="J55" i="8" s="1"/>
  <c r="K55" i="8" s="1"/>
  <c r="I56" i="8"/>
  <c r="J56" i="8" s="1"/>
  <c r="K56" i="8" s="1"/>
  <c r="I57" i="8"/>
  <c r="J57" i="8" s="1"/>
  <c r="K57" i="8" s="1"/>
  <c r="I58" i="8"/>
  <c r="J58" i="8" s="1"/>
  <c r="K58" i="8" s="1"/>
  <c r="I59" i="8"/>
  <c r="J59" i="8" s="1"/>
  <c r="K59" i="8" s="1"/>
  <c r="I60" i="8"/>
  <c r="J60" i="8" s="1"/>
  <c r="K60" i="8" s="1"/>
  <c r="I61" i="8"/>
  <c r="J61" i="8" s="1"/>
  <c r="K61" i="8" s="1"/>
  <c r="I62" i="8"/>
  <c r="J62" i="8" s="1"/>
  <c r="K62" i="8" s="1"/>
  <c r="I63" i="8"/>
  <c r="J63" i="8" s="1"/>
  <c r="K63" i="8" s="1"/>
  <c r="I64" i="8"/>
  <c r="J64" i="8" s="1"/>
  <c r="K64" i="8" s="1"/>
  <c r="I65" i="8"/>
  <c r="J65" i="8" s="1"/>
  <c r="K65" i="8" s="1"/>
  <c r="I66" i="8"/>
  <c r="J66" i="8" s="1"/>
  <c r="K66" i="8" s="1"/>
  <c r="I67" i="8"/>
  <c r="J67" i="8" s="1"/>
  <c r="K67" i="8" s="1"/>
  <c r="I68" i="8"/>
  <c r="J68" i="8" s="1"/>
  <c r="K68" i="8" s="1"/>
  <c r="I69" i="8"/>
  <c r="J69" i="8" s="1"/>
  <c r="K69" i="8" s="1"/>
  <c r="I70" i="8"/>
  <c r="J70" i="8" s="1"/>
  <c r="K70" i="8" s="1"/>
  <c r="I71" i="8"/>
  <c r="J71" i="8" s="1"/>
  <c r="K71" i="8" s="1"/>
  <c r="I72" i="8"/>
  <c r="J72" i="8" s="1"/>
  <c r="K72" i="8" s="1"/>
  <c r="I73" i="8"/>
  <c r="J73" i="8" s="1"/>
  <c r="K73" i="8" s="1"/>
  <c r="I74" i="8"/>
  <c r="J74" i="8" s="1"/>
  <c r="K74" i="8" s="1"/>
  <c r="I75" i="8"/>
  <c r="J75" i="8" s="1"/>
  <c r="K75" i="8" s="1"/>
  <c r="I76" i="8"/>
  <c r="J76" i="8" s="1"/>
  <c r="K76" i="8" s="1"/>
  <c r="I77" i="8"/>
  <c r="J77" i="8" s="1"/>
  <c r="K77" i="8" s="1"/>
  <c r="I78" i="8"/>
  <c r="J78" i="8" s="1"/>
  <c r="K78" i="8" s="1"/>
  <c r="I79" i="8"/>
  <c r="J79" i="8" s="1"/>
  <c r="K79" i="8" s="1"/>
  <c r="I80" i="8"/>
  <c r="J80" i="8" s="1"/>
  <c r="K80" i="8" s="1"/>
  <c r="I46" i="8"/>
  <c r="J46" i="8" s="1"/>
  <c r="K46" i="8" s="1"/>
  <c r="H2" i="7"/>
  <c r="I2" i="7"/>
  <c r="J2" i="7"/>
  <c r="H3" i="7"/>
  <c r="I3" i="7"/>
  <c r="J3" i="7"/>
  <c r="F4" i="7"/>
  <c r="H4" i="7"/>
  <c r="I4" i="7"/>
  <c r="J4" i="7"/>
  <c r="F5" i="7"/>
  <c r="H5" i="7"/>
  <c r="I5" i="7"/>
  <c r="J5" i="7"/>
  <c r="H6" i="7"/>
  <c r="I6" i="7"/>
  <c r="J6" i="7"/>
  <c r="H7" i="7"/>
  <c r="I7" i="7"/>
  <c r="J7" i="7"/>
  <c r="H8" i="7"/>
  <c r="I8" i="7"/>
  <c r="J8" i="7"/>
  <c r="H9" i="7"/>
  <c r="I9" i="7"/>
  <c r="J9" i="7"/>
  <c r="H10" i="7"/>
  <c r="I10" i="7"/>
  <c r="J10" i="7"/>
  <c r="H11" i="7"/>
  <c r="I11" i="7"/>
  <c r="J11" i="7"/>
  <c r="H12" i="7"/>
  <c r="I12" i="7"/>
  <c r="J12" i="7"/>
  <c r="H13" i="7"/>
  <c r="I13" i="7"/>
  <c r="J13" i="7"/>
  <c r="H14" i="7"/>
  <c r="I14" i="7"/>
  <c r="J14" i="7"/>
  <c r="H15" i="7"/>
  <c r="I15" i="7"/>
  <c r="J15" i="7"/>
  <c r="H16" i="7"/>
  <c r="I16" i="7"/>
  <c r="J16" i="7"/>
  <c r="H17" i="7"/>
  <c r="I17" i="7"/>
  <c r="J17" i="7"/>
  <c r="H18" i="7"/>
  <c r="I18" i="7"/>
  <c r="J18" i="7"/>
  <c r="H19" i="7"/>
  <c r="I19" i="7"/>
  <c r="J19" i="7"/>
  <c r="H20" i="7"/>
  <c r="I20" i="7"/>
  <c r="J20" i="7"/>
  <c r="H21" i="7"/>
  <c r="I21" i="7"/>
  <c r="J21" i="7"/>
  <c r="H22" i="7"/>
  <c r="I22" i="7"/>
  <c r="J22" i="7"/>
  <c r="H23" i="7"/>
  <c r="I23" i="7"/>
  <c r="J23" i="7"/>
  <c r="H24" i="7"/>
  <c r="I24" i="7"/>
  <c r="J24" i="7"/>
  <c r="H25" i="7"/>
  <c r="I25" i="7"/>
  <c r="J25" i="7"/>
  <c r="H26" i="7"/>
  <c r="I26" i="7"/>
  <c r="J26" i="7"/>
  <c r="H27" i="7"/>
  <c r="I27" i="7"/>
  <c r="J27" i="7"/>
  <c r="H28" i="7"/>
  <c r="I28" i="7"/>
  <c r="J28" i="7"/>
  <c r="H29" i="7"/>
  <c r="I29" i="7"/>
  <c r="J29" i="7"/>
  <c r="H30" i="7"/>
  <c r="I30" i="7"/>
  <c r="J30" i="7"/>
  <c r="H31" i="7"/>
  <c r="I31" i="7"/>
  <c r="J31" i="7"/>
  <c r="H32" i="7"/>
  <c r="I32" i="7"/>
  <c r="J32" i="7"/>
  <c r="M5" i="5"/>
  <c r="N5" i="5"/>
  <c r="M9" i="5"/>
  <c r="N9" i="5"/>
  <c r="M13" i="5"/>
  <c r="N13" i="5"/>
  <c r="L3" i="5"/>
  <c r="M3" i="5"/>
  <c r="N3" i="5"/>
  <c r="L4" i="5"/>
  <c r="M4" i="5"/>
  <c r="N4" i="5"/>
  <c r="L5" i="5"/>
  <c r="L6" i="5"/>
  <c r="M6" i="5"/>
  <c r="N6" i="5"/>
  <c r="L7" i="5"/>
  <c r="M7" i="5"/>
  <c r="N7" i="5"/>
  <c r="L8" i="5"/>
  <c r="M8" i="5"/>
  <c r="N8" i="5"/>
  <c r="L9" i="5"/>
  <c r="L10" i="5"/>
  <c r="M10" i="5"/>
  <c r="N10" i="5"/>
  <c r="L11" i="5"/>
  <c r="M11" i="5"/>
  <c r="N11" i="5"/>
  <c r="L12" i="5"/>
  <c r="M12" i="5"/>
  <c r="N12" i="5"/>
  <c r="L13" i="5"/>
  <c r="L14" i="5"/>
  <c r="M14" i="5"/>
  <c r="N14" i="5"/>
  <c r="L2" i="5"/>
  <c r="M2" i="5"/>
  <c r="N2" i="5"/>
  <c r="X26" i="1"/>
  <c r="X21" i="1"/>
  <c r="X56" i="1"/>
  <c r="X57" i="1"/>
  <c r="X55" i="1"/>
  <c r="X47" i="1"/>
  <c r="X48" i="1"/>
  <c r="X49" i="1"/>
  <c r="X50" i="1"/>
  <c r="X51" i="1"/>
  <c r="X46" i="1"/>
  <c r="L36" i="3"/>
  <c r="M36" i="3" s="1"/>
  <c r="N36" i="3" s="1"/>
  <c r="L37" i="3"/>
  <c r="M37" i="3" s="1"/>
  <c r="N37" i="3" s="1"/>
  <c r="L54" i="3"/>
  <c r="M54" i="3" s="1"/>
  <c r="N54" i="3" s="1"/>
  <c r="L55" i="3"/>
  <c r="M55" i="3" s="1"/>
  <c r="N55" i="3" s="1"/>
  <c r="L5" i="3"/>
  <c r="M5" i="3" s="1"/>
  <c r="N5" i="3" s="1"/>
  <c r="L6" i="3"/>
  <c r="M6" i="3" s="1"/>
  <c r="N6" i="3" s="1"/>
  <c r="L51" i="3"/>
  <c r="M51" i="3" s="1"/>
  <c r="N51" i="3" s="1"/>
  <c r="L50" i="3"/>
  <c r="M50" i="3" s="1"/>
  <c r="N50" i="3" s="1"/>
  <c r="L9" i="3"/>
  <c r="M9" i="3" s="1"/>
  <c r="N9" i="3" s="1"/>
  <c r="L10" i="3"/>
  <c r="M10" i="3" s="1"/>
  <c r="N10" i="3" s="1"/>
  <c r="L11" i="3"/>
  <c r="M11" i="3" s="1"/>
  <c r="N11" i="3" s="1"/>
  <c r="L63" i="3"/>
  <c r="M63" i="3" s="1"/>
  <c r="N63" i="3" s="1"/>
  <c r="L62" i="3"/>
  <c r="M62" i="3" s="1"/>
  <c r="N62" i="3" s="1"/>
  <c r="L2" i="3"/>
  <c r="M2" i="3" s="1"/>
  <c r="N2" i="3" s="1"/>
  <c r="L3" i="3"/>
  <c r="M3" i="3" s="1"/>
  <c r="N3" i="3" s="1"/>
  <c r="L4" i="3"/>
  <c r="M4" i="3" s="1"/>
  <c r="N4" i="3" s="1"/>
  <c r="L40" i="3"/>
  <c r="M40" i="3" s="1"/>
  <c r="N40" i="3" s="1"/>
  <c r="L41" i="3"/>
  <c r="M41" i="3" s="1"/>
  <c r="N41" i="3" s="1"/>
  <c r="L30" i="3"/>
  <c r="M30" i="3" s="1"/>
  <c r="N30" i="3" s="1"/>
  <c r="L31" i="3"/>
  <c r="M31" i="3" s="1"/>
  <c r="N31" i="3" s="1"/>
  <c r="L32" i="3"/>
  <c r="M32" i="3" s="1"/>
  <c r="N32" i="3" s="1"/>
  <c r="L46" i="3"/>
  <c r="M46" i="3" s="1"/>
  <c r="N46" i="3" s="1"/>
  <c r="L47" i="3"/>
  <c r="M47" i="3" s="1"/>
  <c r="N47" i="3" s="1"/>
  <c r="L27" i="3"/>
  <c r="M27" i="3" s="1"/>
  <c r="N27" i="3" s="1"/>
  <c r="L28" i="3"/>
  <c r="M28" i="3" s="1"/>
  <c r="N28" i="3" s="1"/>
  <c r="L29" i="3"/>
  <c r="M29" i="3" s="1"/>
  <c r="N29" i="3" s="1"/>
  <c r="L58" i="3"/>
  <c r="M58" i="3" s="1"/>
  <c r="N58" i="3" s="1"/>
  <c r="L59" i="3"/>
  <c r="M59" i="3" s="1"/>
  <c r="N59" i="3" s="1"/>
  <c r="L12" i="3"/>
  <c r="M12" i="3" s="1"/>
  <c r="N12" i="3" s="1"/>
  <c r="L13" i="3"/>
  <c r="M13" i="3" s="1"/>
  <c r="N13" i="3" s="1"/>
  <c r="L14" i="3"/>
  <c r="M14" i="3" s="1"/>
  <c r="N14" i="3" s="1"/>
  <c r="L42" i="3"/>
  <c r="M42" i="3" s="1"/>
  <c r="N42" i="3" s="1"/>
  <c r="L43" i="3"/>
  <c r="M43" i="3" s="1"/>
  <c r="N43" i="3" s="1"/>
  <c r="L15" i="3"/>
  <c r="M15" i="3" s="1"/>
  <c r="N15" i="3" s="1"/>
  <c r="L16" i="3"/>
  <c r="M16" i="3" s="1"/>
  <c r="N16" i="3" s="1"/>
  <c r="L66" i="3"/>
  <c r="M66" i="3" s="1"/>
  <c r="N66" i="3" s="1"/>
  <c r="L67" i="3"/>
  <c r="M67" i="3" s="1"/>
  <c r="N67" i="3" s="1"/>
  <c r="L38" i="3"/>
  <c r="M38" i="3" s="1"/>
  <c r="N38" i="3" s="1"/>
  <c r="L39" i="3"/>
  <c r="M39" i="3" s="1"/>
  <c r="N39" i="3" s="1"/>
  <c r="L44" i="3"/>
  <c r="M44" i="3" s="1"/>
  <c r="N44" i="3" s="1"/>
  <c r="L45" i="3"/>
  <c r="M45" i="3" s="1"/>
  <c r="N45" i="3" s="1"/>
  <c r="L7" i="3"/>
  <c r="M7" i="3" s="1"/>
  <c r="N7" i="3" s="1"/>
  <c r="L8" i="3"/>
  <c r="M8" i="3" s="1"/>
  <c r="N8" i="3" s="1"/>
  <c r="L17" i="3"/>
  <c r="M17" i="3" s="1"/>
  <c r="N17" i="3" s="1"/>
  <c r="L18" i="3"/>
  <c r="M18" i="3" s="1"/>
  <c r="N18" i="3" s="1"/>
  <c r="L19" i="3"/>
  <c r="M19" i="3" s="1"/>
  <c r="N19" i="3" s="1"/>
  <c r="L60" i="3"/>
  <c r="M60" i="3" s="1"/>
  <c r="N60" i="3" s="1"/>
  <c r="L61" i="3"/>
  <c r="M61" i="3" s="1"/>
  <c r="N61" i="3" s="1"/>
  <c r="L22" i="3"/>
  <c r="M22" i="3" s="1"/>
  <c r="N22" i="3" s="1"/>
  <c r="L23" i="3"/>
  <c r="M23" i="3" s="1"/>
  <c r="N23" i="3" s="1"/>
  <c r="L24" i="3"/>
  <c r="M24" i="3" s="1"/>
  <c r="N24" i="3" s="1"/>
  <c r="L48" i="3"/>
  <c r="M48" i="3" s="1"/>
  <c r="N48" i="3" s="1"/>
  <c r="L49" i="3"/>
  <c r="M49" i="3" s="1"/>
  <c r="N49" i="3" s="1"/>
  <c r="L20" i="3"/>
  <c r="M20" i="3" s="1"/>
  <c r="N20" i="3" s="1"/>
  <c r="L21" i="3"/>
  <c r="M21" i="3" s="1"/>
  <c r="N21" i="3" s="1"/>
  <c r="L53" i="3"/>
  <c r="M53" i="3" s="1"/>
  <c r="N53" i="3" s="1"/>
  <c r="L52" i="3"/>
  <c r="M52" i="3" s="1"/>
  <c r="N52" i="3" s="1"/>
  <c r="L33" i="3"/>
  <c r="M33" i="3" s="1"/>
  <c r="N33" i="3" s="1"/>
  <c r="L34" i="3"/>
  <c r="M34" i="3" s="1"/>
  <c r="N34" i="3" s="1"/>
  <c r="L64" i="3"/>
  <c r="M64" i="3" s="1"/>
  <c r="N64" i="3" s="1"/>
  <c r="L65" i="3"/>
  <c r="M65" i="3" s="1"/>
  <c r="N65" i="3" s="1"/>
  <c r="L25" i="3"/>
  <c r="M25" i="3" s="1"/>
  <c r="N25" i="3" s="1"/>
  <c r="L26" i="3"/>
  <c r="M26" i="3" s="1"/>
  <c r="N26" i="3" s="1"/>
  <c r="L56" i="3"/>
  <c r="M56" i="3" s="1"/>
  <c r="N56" i="3" s="1"/>
  <c r="L57" i="3"/>
  <c r="M57" i="3" s="1"/>
  <c r="N57" i="3" s="1"/>
  <c r="N66" i="4"/>
  <c r="O66" i="4" s="1"/>
  <c r="P66" i="4" s="1"/>
  <c r="N25" i="4"/>
  <c r="O25" i="4" s="1"/>
  <c r="P25" i="4" s="1"/>
  <c r="N26" i="4"/>
  <c r="O26" i="4" s="1"/>
  <c r="P26" i="4" s="1"/>
  <c r="N27" i="4"/>
  <c r="O27" i="4" s="1"/>
  <c r="P27" i="4" s="1"/>
  <c r="N36" i="4"/>
  <c r="O36" i="4" s="1"/>
  <c r="P36" i="4" s="1"/>
  <c r="N37" i="4"/>
  <c r="O37" i="4" s="1"/>
  <c r="P37" i="4" s="1"/>
  <c r="N38" i="4"/>
  <c r="O38" i="4" s="1"/>
  <c r="P38" i="4" s="1"/>
  <c r="N40" i="4"/>
  <c r="O40" i="4" s="1"/>
  <c r="P40" i="4" s="1"/>
  <c r="N41" i="4"/>
  <c r="O41" i="4" s="1"/>
  <c r="P41" i="4" s="1"/>
  <c r="N42" i="4"/>
  <c r="O42" i="4" s="1"/>
  <c r="P42" i="4" s="1"/>
  <c r="N21" i="4"/>
  <c r="O21" i="4" s="1"/>
  <c r="P21" i="4" s="1"/>
  <c r="N22" i="4"/>
  <c r="O22" i="4" s="1"/>
  <c r="P22" i="4" s="1"/>
  <c r="N23" i="4"/>
  <c r="O23" i="4" s="1"/>
  <c r="P23" i="4" s="1"/>
  <c r="N17" i="4"/>
  <c r="O17" i="4" s="1"/>
  <c r="P17" i="4" s="1"/>
  <c r="N18" i="4"/>
  <c r="O18" i="4" s="1"/>
  <c r="P18" i="4" s="1"/>
  <c r="N19" i="4"/>
  <c r="O19" i="4" s="1"/>
  <c r="P19" i="4" s="1"/>
  <c r="N34" i="4"/>
  <c r="O34" i="4" s="1"/>
  <c r="P34" i="4" s="1"/>
  <c r="N67" i="4"/>
  <c r="O67" i="4" s="1"/>
  <c r="P67" i="4" s="1"/>
  <c r="N10" i="4"/>
  <c r="O10" i="4" s="1"/>
  <c r="P10" i="4" s="1"/>
  <c r="N9" i="4"/>
  <c r="O9" i="4" s="1"/>
  <c r="P9" i="4" s="1"/>
  <c r="N33" i="4"/>
  <c r="O33" i="4" s="1"/>
  <c r="P33" i="4" s="1"/>
  <c r="N13" i="4"/>
  <c r="O13" i="4" s="1"/>
  <c r="P13" i="4" s="1"/>
  <c r="N15" i="4"/>
  <c r="O15" i="4" s="1"/>
  <c r="P15" i="4" s="1"/>
  <c r="N6" i="4"/>
  <c r="O6" i="4" s="1"/>
  <c r="P6" i="4" s="1"/>
  <c r="N7" i="4"/>
  <c r="O7" i="4" s="1"/>
  <c r="P7" i="4" s="1"/>
  <c r="N32" i="4"/>
  <c r="O32" i="4" s="1"/>
  <c r="P32" i="4" s="1"/>
  <c r="N11" i="4"/>
  <c r="O11" i="4" s="1"/>
  <c r="P11" i="4" s="1"/>
  <c r="N29" i="4"/>
  <c r="O29" i="4" s="1"/>
  <c r="P29" i="4" s="1"/>
  <c r="N30" i="4"/>
  <c r="O30" i="4" s="1"/>
  <c r="P30" i="4" s="1"/>
  <c r="N78" i="4"/>
  <c r="O78" i="4" s="1"/>
  <c r="P78" i="4" s="1"/>
  <c r="N79" i="4"/>
  <c r="O79" i="4" s="1"/>
  <c r="P79" i="4" s="1"/>
  <c r="N81" i="4"/>
  <c r="O81" i="4" s="1"/>
  <c r="P81" i="4" s="1"/>
  <c r="N82" i="4"/>
  <c r="O82" i="4" s="1"/>
  <c r="P82" i="4" s="1"/>
  <c r="N2" i="4"/>
  <c r="O2" i="4" s="1"/>
  <c r="P2" i="4" s="1"/>
  <c r="N3" i="4"/>
  <c r="O3" i="4" s="1"/>
  <c r="P3" i="4" s="1"/>
  <c r="N4" i="4"/>
  <c r="O4" i="4" s="1"/>
  <c r="P4" i="4" s="1"/>
  <c r="N14" i="4"/>
  <c r="O14" i="4" s="1"/>
  <c r="P14" i="4" s="1"/>
  <c r="R43" i="1"/>
  <c r="S43" i="1"/>
  <c r="T43" i="1"/>
  <c r="Q43" i="1"/>
  <c r="L43" i="1"/>
  <c r="L35" i="3"/>
  <c r="M35" i="3" s="1"/>
  <c r="N35" i="3" s="1"/>
  <c r="AS43" i="1" l="1"/>
  <c r="Q12" i="3"/>
  <c r="Q15" i="3"/>
  <c r="Q30" i="3"/>
  <c r="O12" i="4"/>
  <c r="P12" i="4" s="1"/>
</calcChain>
</file>

<file path=xl/sharedStrings.xml><?xml version="1.0" encoding="utf-8"?>
<sst xmlns="http://schemas.openxmlformats.org/spreadsheetml/2006/main" count="4034" uniqueCount="260">
  <si>
    <t>Vial #</t>
  </si>
  <si>
    <t>Field ID</t>
  </si>
  <si>
    <t>Weight</t>
  </si>
  <si>
    <t>SEX</t>
  </si>
  <si>
    <t>BC</t>
  </si>
  <si>
    <t>COD</t>
  </si>
  <si>
    <t>Bluber Depth</t>
  </si>
  <si>
    <t>1-2</t>
  </si>
  <si>
    <t>4-5</t>
  </si>
  <si>
    <t>&gt;6</t>
  </si>
  <si>
    <t>4</t>
  </si>
  <si>
    <t xml:space="preserve">7 </t>
  </si>
  <si>
    <t>8-9</t>
  </si>
  <si>
    <t>6-7</t>
  </si>
  <si>
    <t>6</t>
  </si>
  <si>
    <t>2</t>
  </si>
  <si>
    <t>PSU 18-04-13</t>
  </si>
  <si>
    <t>2-3</t>
  </si>
  <si>
    <t>WDFW 2017030</t>
  </si>
  <si>
    <t>SKIN</t>
  </si>
  <si>
    <t>5-6</t>
  </si>
  <si>
    <t>9-10</t>
  </si>
  <si>
    <t>WDFW 2011090</t>
  </si>
  <si>
    <t>COMMENT</t>
  </si>
  <si>
    <t>NO SKIN REALLY, GREYSH</t>
  </si>
  <si>
    <t>12</t>
  </si>
  <si>
    <t>7</t>
  </si>
  <si>
    <t>F</t>
  </si>
  <si>
    <t>GOOD</t>
  </si>
  <si>
    <t>AGE</t>
  </si>
  <si>
    <t>Y</t>
  </si>
  <si>
    <t>UND</t>
  </si>
  <si>
    <t>SEE FILES</t>
  </si>
  <si>
    <t>FAIR</t>
  </si>
  <si>
    <t>A</t>
  </si>
  <si>
    <t>NUTRITIONAL STRESS</t>
  </si>
  <si>
    <t>POOR</t>
  </si>
  <si>
    <t>TRAUMA</t>
  </si>
  <si>
    <t>SA</t>
  </si>
  <si>
    <t>FGOOD</t>
  </si>
  <si>
    <t>M</t>
  </si>
  <si>
    <t>ENTANGLEMENT</t>
  </si>
  <si>
    <t>EXCELLENT</t>
  </si>
  <si>
    <t>P/C</t>
  </si>
  <si>
    <t>FAIR-POOR</t>
  </si>
  <si>
    <t>GRANULOSE BLUB</t>
  </si>
  <si>
    <t>RED, SEE PIC</t>
  </si>
  <si>
    <t>LIVE STRANDING</t>
  </si>
  <si>
    <t>EXT VOLUME</t>
  </si>
  <si>
    <t>VALIDATION- CTN</t>
  </si>
  <si>
    <t>REMAINING</t>
  </si>
  <si>
    <t>CTN ACCURACY</t>
  </si>
  <si>
    <t>CTN SAMPLES</t>
  </si>
  <si>
    <t>PG/ML</t>
  </si>
  <si>
    <t>DILUTION</t>
  </si>
  <si>
    <t>CORRECTED</t>
  </si>
  <si>
    <t>PG/G</t>
  </si>
  <si>
    <t>ng/g</t>
  </si>
  <si>
    <t>CTN 2</t>
  </si>
  <si>
    <t>CORTISOL VAL?</t>
  </si>
  <si>
    <t>Aldo</t>
  </si>
  <si>
    <t>CORTISOL ACC</t>
  </si>
  <si>
    <t>samples cortisol</t>
  </si>
  <si>
    <t>DATE RAN</t>
  </si>
  <si>
    <t>Assay n</t>
  </si>
  <si>
    <t>Cortisol n 2- May 7th</t>
  </si>
  <si>
    <t>*</t>
  </si>
  <si>
    <t>Notes</t>
  </si>
  <si>
    <t>x</t>
  </si>
  <si>
    <t>val Testo prog</t>
  </si>
  <si>
    <t>PSU</t>
  </si>
  <si>
    <t>extracrted in 2000ml 90% ethanol</t>
  </si>
  <si>
    <t>Testosterone May 23</t>
  </si>
  <si>
    <t>T1</t>
  </si>
  <si>
    <t>T2</t>
  </si>
  <si>
    <t>ISWE ctn pool</t>
  </si>
  <si>
    <t>SURFACE</t>
  </si>
  <si>
    <t>CARCASS</t>
  </si>
  <si>
    <t>ISWE</t>
  </si>
  <si>
    <t>ng/g AA</t>
  </si>
  <si>
    <t>ng/g ISWE</t>
  </si>
  <si>
    <t>3 cm</t>
  </si>
  <si>
    <t>0-1 cm</t>
  </si>
  <si>
    <t>4 cm</t>
  </si>
  <si>
    <t>8 cm</t>
  </si>
  <si>
    <t>Bottom</t>
  </si>
  <si>
    <t>0 cm</t>
  </si>
  <si>
    <t>5 cm</t>
  </si>
  <si>
    <t>9 cm</t>
  </si>
  <si>
    <t>bottom</t>
  </si>
  <si>
    <t>Surface</t>
  </si>
  <si>
    <t>Medium</t>
  </si>
  <si>
    <t>0cm</t>
  </si>
  <si>
    <t>Surface- Side</t>
  </si>
  <si>
    <t>Bottom-Side</t>
  </si>
  <si>
    <t>Surface-middle</t>
  </si>
  <si>
    <t>Bottom-middle</t>
  </si>
  <si>
    <t>Axillary-Surface</t>
  </si>
  <si>
    <t>Axillary-Bototm</t>
  </si>
  <si>
    <t>CRC</t>
  </si>
  <si>
    <t>WDFW</t>
  </si>
  <si>
    <t>SKMMR2019-5-Er</t>
  </si>
  <si>
    <t>AKMMSN</t>
  </si>
  <si>
    <t>UME</t>
  </si>
  <si>
    <t>JUV</t>
  </si>
  <si>
    <t>Progesterone</t>
  </si>
  <si>
    <t>ALDOSTERONE VALIDATION</t>
  </si>
  <si>
    <t>prog</t>
  </si>
  <si>
    <t>N</t>
  </si>
  <si>
    <t>UNK</t>
  </si>
  <si>
    <t>ethanol</t>
  </si>
  <si>
    <t>LIPID %</t>
  </si>
  <si>
    <t>ALDO</t>
  </si>
  <si>
    <t>CTS</t>
  </si>
  <si>
    <t>CTN</t>
  </si>
  <si>
    <t>Testo</t>
  </si>
  <si>
    <t>Prog</t>
  </si>
  <si>
    <t>LOCALITY</t>
  </si>
  <si>
    <t>LONG</t>
  </si>
  <si>
    <t>LAT</t>
  </si>
  <si>
    <t>DATE</t>
  </si>
  <si>
    <t>PRE-UME</t>
  </si>
  <si>
    <t>ASSAY #</t>
  </si>
  <si>
    <t>pg/g</t>
  </si>
  <si>
    <t>Corr for dilution</t>
  </si>
  <si>
    <t xml:space="preserve">DIL </t>
  </si>
  <si>
    <t>pg/ml</t>
  </si>
  <si>
    <t>DILUTION FACTOR</t>
  </si>
  <si>
    <t>Pg/ml</t>
  </si>
  <si>
    <t>WA</t>
  </si>
  <si>
    <t>AK</t>
  </si>
  <si>
    <t>correction for dilution</t>
  </si>
  <si>
    <t>TestoJan2020</t>
  </si>
  <si>
    <t>CTN-Jan 2020</t>
  </si>
  <si>
    <t>CTN feb 2020</t>
  </si>
  <si>
    <t>max</t>
  </si>
  <si>
    <t xml:space="preserve"> </t>
  </si>
  <si>
    <t>surface</t>
  </si>
  <si>
    <t>entANGLEMENT</t>
  </si>
  <si>
    <t>enTANGLEMENT</t>
  </si>
  <si>
    <t>Ak</t>
  </si>
  <si>
    <t>PSN</t>
  </si>
  <si>
    <t>Common Name</t>
  </si>
  <si>
    <t>Reponse Date</t>
  </si>
  <si>
    <t>State</t>
  </si>
  <si>
    <t>CRC-1665</t>
  </si>
  <si>
    <t>Gray Whale</t>
  </si>
  <si>
    <t>CRC-1652</t>
  </si>
  <si>
    <t>CRC-1650</t>
  </si>
  <si>
    <t>PSU18-04-13 Er</t>
  </si>
  <si>
    <t>CRC-1593</t>
  </si>
  <si>
    <t>CRC-1587</t>
  </si>
  <si>
    <t>CRC-1585</t>
  </si>
  <si>
    <t>WDFW2017-030</t>
  </si>
  <si>
    <t>CRC-1524</t>
  </si>
  <si>
    <t>CRC-1429</t>
  </si>
  <si>
    <t>CRC-1278</t>
  </si>
  <si>
    <t>WDFW2011-090</t>
  </si>
  <si>
    <t>CRC-1149</t>
  </si>
  <si>
    <t>CRC-1035</t>
  </si>
  <si>
    <t>WDFW2019-017</t>
  </si>
  <si>
    <t>YES</t>
  </si>
  <si>
    <t>CRC-1712</t>
  </si>
  <si>
    <t>CRC-1714</t>
  </si>
  <si>
    <t>PSU19-04-02-Er</t>
  </si>
  <si>
    <t>PSU19-04-17-Er</t>
  </si>
  <si>
    <t>PSU19-4-30</t>
  </si>
  <si>
    <t>CRC-1720</t>
  </si>
  <si>
    <t>CRC-1723</t>
  </si>
  <si>
    <t>CRC-1724</t>
  </si>
  <si>
    <t>CRC-1727</t>
  </si>
  <si>
    <t>CRC-1732</t>
  </si>
  <si>
    <t>WDFW2019-047</t>
  </si>
  <si>
    <t>CRC-1740</t>
  </si>
  <si>
    <t>Humpback Whale</t>
  </si>
  <si>
    <t>Humpback</t>
  </si>
  <si>
    <t>GRAY WHALE</t>
  </si>
  <si>
    <t>CTN May 11th</t>
  </si>
  <si>
    <t>pool May27</t>
  </si>
  <si>
    <t>VIAL 71 AS IC</t>
  </si>
  <si>
    <t>PSUx</t>
  </si>
  <si>
    <t>CTS_june12</t>
  </si>
  <si>
    <t>CTN_june12</t>
  </si>
  <si>
    <t>???????????????????????'</t>
  </si>
  <si>
    <t>CTS june 14</t>
  </si>
  <si>
    <t>testo val 0617</t>
  </si>
  <si>
    <t>testo acciuracy 0620</t>
  </si>
  <si>
    <t>* indicated as secondary subcategory of COD</t>
  </si>
  <si>
    <t>SHIP STRIKE</t>
  </si>
  <si>
    <t>Long Beah, CA</t>
  </si>
  <si>
    <t>ADULT</t>
  </si>
  <si>
    <t>B. musculus</t>
  </si>
  <si>
    <t>LACM.070908.01</t>
  </si>
  <si>
    <t>Ophir, OR</t>
  </si>
  <si>
    <t>HMSC 15-11-01</t>
  </si>
  <si>
    <t>San Mateo, CA</t>
  </si>
  <si>
    <t>TMMC-C-337</t>
  </si>
  <si>
    <t>Arden Pt, AK</t>
  </si>
  <si>
    <t>U</t>
  </si>
  <si>
    <t>E. robustus</t>
  </si>
  <si>
    <t>ER-200301-PR</t>
  </si>
  <si>
    <t>UME 2019</t>
  </si>
  <si>
    <t>Surfers beach, AK</t>
  </si>
  <si>
    <t>Turnagain Arm, AK</t>
  </si>
  <si>
    <t>Wrangell Is, AK</t>
  </si>
  <si>
    <t>Cordova, AK</t>
  </si>
  <si>
    <t>Pasagshak Bay, AK</t>
  </si>
  <si>
    <t>Bethel, AK</t>
  </si>
  <si>
    <t>Olympia, WA</t>
  </si>
  <si>
    <t>Bay Center, WA</t>
  </si>
  <si>
    <t>Westport, WA</t>
  </si>
  <si>
    <t>Pt Ludlow, WA</t>
  </si>
  <si>
    <t>Ocean Shores, WA</t>
  </si>
  <si>
    <t>Everett, WA</t>
  </si>
  <si>
    <t>Long Beach, WA</t>
  </si>
  <si>
    <t>PSU19-04-30</t>
  </si>
  <si>
    <t>Leadbetter Pt, WA</t>
  </si>
  <si>
    <t>Seattle, WA</t>
  </si>
  <si>
    <t>Longbranch, WA</t>
  </si>
  <si>
    <t>Pacific Beach, WA</t>
  </si>
  <si>
    <t>Grayland, WA</t>
  </si>
  <si>
    <t>TRAUMA*</t>
  </si>
  <si>
    <t>Ocean City, WA</t>
  </si>
  <si>
    <t>Seaview, WA</t>
  </si>
  <si>
    <t>NUTRITIONAL STRESS*</t>
  </si>
  <si>
    <t>Bellingham, WA</t>
  </si>
  <si>
    <t>Kalaloch, WA</t>
  </si>
  <si>
    <t>Oysterville, WA</t>
  </si>
  <si>
    <t>Taholah, WA</t>
  </si>
  <si>
    <t>Queets, WA</t>
  </si>
  <si>
    <t>LOCATION</t>
  </si>
  <si>
    <t>AGE CLASS</t>
  </si>
  <si>
    <t>SPECIES</t>
  </si>
  <si>
    <t>FIELD ID</t>
  </si>
  <si>
    <t>HUNT</t>
  </si>
  <si>
    <t>Trauma</t>
  </si>
  <si>
    <t>assay 10</t>
  </si>
  <si>
    <t>Assay 6</t>
  </si>
  <si>
    <t>CV</t>
  </si>
  <si>
    <t>IC high</t>
  </si>
  <si>
    <t>IC low</t>
  </si>
  <si>
    <t>Cortisol Assay 6</t>
  </si>
  <si>
    <t>Assay 7</t>
  </si>
  <si>
    <t>LOW</t>
  </si>
  <si>
    <t>Assay 10</t>
  </si>
  <si>
    <t>mean</t>
  </si>
  <si>
    <t>sd</t>
  </si>
  <si>
    <t>cv</t>
  </si>
  <si>
    <t>OD CV (Conc CV)</t>
  </si>
  <si>
    <t>Iswe assay 9</t>
  </si>
  <si>
    <t>Assay 9 iswe</t>
  </si>
  <si>
    <t>OD CV</t>
  </si>
  <si>
    <t>Assay Date</t>
  </si>
  <si>
    <t>06-05.2020</t>
  </si>
  <si>
    <t>CV OD</t>
  </si>
  <si>
    <t>05-22-2020</t>
  </si>
  <si>
    <t>Aldosterone Assay run 05-22-2020</t>
  </si>
  <si>
    <t>Aldosterone Assay run 06-05-2020</t>
  </si>
  <si>
    <t>11-25-2019</t>
  </si>
  <si>
    <t>ALDOSTERONE ACC +SAMPLES 2019-11-25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</si>
</sst>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m\-yy"/>
  </numFmts>
  <fonts count="27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 (Body)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FF0000"/>
      <name val="Calibri"/>
      <family val="2"/>
    </font>
    <font>
      <sz val="12"/>
      <color rgb="FF000000"/>
      <name val="Helvetica"/>
      <family val="2"/>
    </font>
    <font>
      <sz val="10"/>
      <color rgb="FF000000"/>
      <name val="Arial"/>
      <family val="2"/>
    </font>
    <font>
      <sz val="12"/>
      <color rgb="FFFF0000"/>
      <name val="Calibri (Body)"/>
    </font>
    <font>
      <sz val="12"/>
      <color theme="1"/>
      <name val="Calibri"/>
      <family val="2"/>
    </font>
    <font>
      <sz val="12"/>
      <color theme="1"/>
      <name val="Helvetica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(Body)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1" fillId="0" borderId="0" applyNumberFormat="0" applyFill="0" applyBorder="0" applyAlignment="0" applyProtection="0"/>
    <xf numFmtId="9" fontId="20" fillId="0" borderId="0" applyFont="0" applyFill="0" applyBorder="0" applyAlignment="0" applyProtection="0"/>
  </cellStyleXfs>
  <cellXfs count="117">
    <xf numFmtId="0" fontId="0" fillId="0" borderId="0" xfId="0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" fontId="0" fillId="0" borderId="0" xfId="0" applyNumberFormat="1"/>
    <xf numFmtId="0" fontId="3" fillId="3" borderId="0" xfId="0" applyFont="1" applyFill="1"/>
    <xf numFmtId="0" fontId="0" fillId="3" borderId="0" xfId="0" applyFill="1"/>
    <xf numFmtId="2" fontId="0" fillId="3" borderId="0" xfId="0" applyNumberFormat="1" applyFill="1"/>
    <xf numFmtId="2" fontId="5" fillId="3" borderId="0" xfId="0" applyNumberFormat="1" applyFont="1" applyFill="1"/>
    <xf numFmtId="164" fontId="0" fillId="2" borderId="0" xfId="0" applyNumberFormat="1" applyFill="1"/>
    <xf numFmtId="0" fontId="7" fillId="0" borderId="0" xfId="0" applyFont="1"/>
    <xf numFmtId="0" fontId="5" fillId="3" borderId="0" xfId="0" applyFont="1" applyFill="1"/>
    <xf numFmtId="2" fontId="1" fillId="0" borderId="0" xfId="0" applyNumberFormat="1" applyFont="1"/>
    <xf numFmtId="0" fontId="8" fillId="0" borderId="0" xfId="0" applyFont="1"/>
    <xf numFmtId="2" fontId="8" fillId="0" borderId="0" xfId="0" applyNumberFormat="1" applyFont="1"/>
    <xf numFmtId="0" fontId="1" fillId="0" borderId="0" xfId="0" applyFont="1"/>
    <xf numFmtId="0" fontId="0" fillId="4" borderId="0" xfId="0" applyFill="1"/>
    <xf numFmtId="0" fontId="9" fillId="4" borderId="0" xfId="0" applyFont="1" applyFill="1" applyAlignment="1">
      <alignment vertical="center" wrapText="1"/>
    </xf>
    <xf numFmtId="0" fontId="3" fillId="4" borderId="0" xfId="0" applyFont="1" applyFill="1"/>
    <xf numFmtId="0" fontId="9" fillId="4" borderId="0" xfId="0" applyFont="1" applyFill="1" applyAlignment="1">
      <alignment horizontal="right" vertical="center" wrapText="1"/>
    </xf>
    <xf numFmtId="0" fontId="0" fillId="5" borderId="0" xfId="0" applyFill="1"/>
    <xf numFmtId="0" fontId="9" fillId="5" borderId="0" xfId="0" applyFont="1" applyFill="1" applyAlignment="1">
      <alignment vertical="center" wrapText="1"/>
    </xf>
    <xf numFmtId="0" fontId="9" fillId="5" borderId="0" xfId="0" applyFont="1" applyFill="1" applyAlignment="1">
      <alignment horizontal="right" vertical="center" wrapText="1"/>
    </xf>
    <xf numFmtId="49" fontId="0" fillId="5" borderId="0" xfId="0" applyNumberFormat="1" applyFill="1" applyAlignment="1">
      <alignment horizontal="center"/>
    </xf>
    <xf numFmtId="0" fontId="10" fillId="5" borderId="0" xfId="0" applyFont="1" applyFill="1" applyAlignment="1">
      <alignment horizontal="center" vertical="center" wrapText="1"/>
    </xf>
    <xf numFmtId="14" fontId="0" fillId="5" borderId="0" xfId="0" applyNumberFormat="1" applyFill="1"/>
    <xf numFmtId="0" fontId="0" fillId="0" borderId="1" xfId="0" applyBorder="1"/>
    <xf numFmtId="0" fontId="0" fillId="0" borderId="2" xfId="0" applyBorder="1"/>
    <xf numFmtId="15" fontId="0" fillId="0" borderId="0" xfId="0" applyNumberFormat="1"/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165" fontId="9" fillId="0" borderId="0" xfId="0" applyNumberFormat="1" applyFont="1" applyAlignment="1">
      <alignment horizontal="right" vertical="center" wrapText="1"/>
    </xf>
    <xf numFmtId="2" fontId="0" fillId="2" borderId="0" xfId="0" applyNumberFormat="1" applyFill="1"/>
    <xf numFmtId="0" fontId="10" fillId="6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/>
    <xf numFmtId="0" fontId="0" fillId="7" borderId="0" xfId="0" applyFill="1"/>
    <xf numFmtId="0" fontId="4" fillId="7" borderId="0" xfId="0" applyFont="1" applyFill="1"/>
    <xf numFmtId="2" fontId="0" fillId="7" borderId="0" xfId="0" applyNumberFormat="1" applyFill="1"/>
    <xf numFmtId="0" fontId="3" fillId="7" borderId="0" xfId="0" applyFont="1" applyFill="1"/>
    <xf numFmtId="0" fontId="11" fillId="7" borderId="0" xfId="0" applyFont="1" applyFill="1"/>
    <xf numFmtId="0" fontId="5" fillId="7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49" fontId="14" fillId="0" borderId="0" xfId="0" applyNumberFormat="1" applyFont="1" applyAlignment="1">
      <alignment horizontal="center"/>
    </xf>
    <xf numFmtId="0" fontId="15" fillId="0" borderId="0" xfId="0" applyFont="1"/>
    <xf numFmtId="2" fontId="9" fillId="4" borderId="0" xfId="0" applyNumberFormat="1" applyFont="1" applyFill="1" applyAlignment="1">
      <alignment vertical="center" wrapText="1"/>
    </xf>
    <xf numFmtId="2" fontId="0" fillId="4" borderId="0" xfId="0" applyNumberFormat="1" applyFill="1"/>
    <xf numFmtId="0" fontId="18" fillId="8" borderId="3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15" fontId="19" fillId="0" borderId="6" xfId="0" applyNumberFormat="1" applyFont="1" applyBorder="1" applyAlignment="1">
      <alignment horizontal="right" vertical="center" wrapText="1"/>
    </xf>
    <xf numFmtId="0" fontId="19" fillId="0" borderId="6" xfId="0" applyFont="1" applyBorder="1" applyAlignment="1">
      <alignment vertical="center"/>
    </xf>
    <xf numFmtId="15" fontId="19" fillId="0" borderId="6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5" fontId="1" fillId="0" borderId="6" xfId="0" applyNumberFormat="1" applyFont="1" applyBorder="1" applyAlignment="1">
      <alignment horizontal="right" vertical="center"/>
    </xf>
    <xf numFmtId="0" fontId="0" fillId="0" borderId="3" xfId="0" applyBorder="1" applyAlignment="1">
      <alignment vertical="center" wrapText="1"/>
    </xf>
    <xf numFmtId="0" fontId="19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15" fontId="0" fillId="0" borderId="4" xfId="0" applyNumberFormat="1" applyBorder="1" applyAlignment="1">
      <alignment vertical="center" wrapText="1"/>
    </xf>
    <xf numFmtId="15" fontId="19" fillId="0" borderId="4" xfId="0" applyNumberFormat="1" applyFont="1" applyBorder="1" applyAlignment="1">
      <alignment vertical="center" wrapText="1"/>
    </xf>
    <xf numFmtId="15" fontId="19" fillId="0" borderId="6" xfId="0" applyNumberFormat="1" applyFont="1" applyBorder="1" applyAlignment="1">
      <alignment vertical="center" wrapText="1"/>
    </xf>
    <xf numFmtId="0" fontId="20" fillId="0" borderId="0" xfId="1" applyFont="1"/>
    <xf numFmtId="0" fontId="22" fillId="0" borderId="0" xfId="0" applyFont="1"/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5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15" fontId="23" fillId="0" borderId="0" xfId="0" applyNumberFormat="1" applyFont="1" applyAlignment="1">
      <alignment horizontal="center" vertical="center" wrapText="1"/>
    </xf>
    <xf numFmtId="15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5" fontId="22" fillId="0" borderId="0" xfId="0" applyNumberFormat="1" applyFont="1"/>
    <xf numFmtId="0" fontId="3" fillId="9" borderId="0" xfId="0" applyFont="1" applyFill="1"/>
    <xf numFmtId="0" fontId="0" fillId="9" borderId="0" xfId="0" applyFill="1"/>
    <xf numFmtId="49" fontId="0" fillId="9" borderId="0" xfId="0" applyNumberFormat="1" applyFill="1" applyAlignment="1">
      <alignment horizontal="center"/>
    </xf>
    <xf numFmtId="20" fontId="0" fillId="0" borderId="0" xfId="0" applyNumberFormat="1"/>
    <xf numFmtId="0" fontId="15" fillId="9" borderId="0" xfId="0" applyFont="1" applyFill="1"/>
    <xf numFmtId="0" fontId="16" fillId="9" borderId="0" xfId="0" applyFont="1" applyFill="1"/>
    <xf numFmtId="0" fontId="17" fillId="9" borderId="0" xfId="0" applyFont="1" applyFill="1" applyAlignment="1">
      <alignment vertical="center" wrapText="1"/>
    </xf>
    <xf numFmtId="49" fontId="0" fillId="0" borderId="0" xfId="0" applyNumberFormat="1"/>
    <xf numFmtId="164" fontId="0" fillId="9" borderId="0" xfId="0" applyNumberFormat="1" applyFill="1"/>
    <xf numFmtId="14" fontId="0" fillId="9" borderId="0" xfId="0" applyNumberFormat="1" applyFill="1"/>
    <xf numFmtId="14" fontId="0" fillId="0" borderId="0" xfId="0" applyNumberFormat="1"/>
    <xf numFmtId="0" fontId="17" fillId="0" borderId="0" xfId="0" applyFont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0" fontId="25" fillId="0" borderId="0" xfId="0" applyFont="1" applyAlignment="1">
      <alignment horizontal="right"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horizontal="right" vertical="center" wrapText="1"/>
    </xf>
    <xf numFmtId="0" fontId="26" fillId="0" borderId="0" xfId="0" applyFont="1" applyAlignment="1">
      <alignment vertical="center" wrapText="1"/>
    </xf>
    <xf numFmtId="164" fontId="8" fillId="0" borderId="0" xfId="0" applyNumberFormat="1" applyFont="1"/>
    <xf numFmtId="9" fontId="0" fillId="0" borderId="0" xfId="2" applyFont="1" applyFill="1"/>
    <xf numFmtId="0" fontId="16" fillId="0" borderId="0" xfId="0" applyFont="1"/>
    <xf numFmtId="49" fontId="8" fillId="0" borderId="0" xfId="0" applyNumberFormat="1" applyFont="1" applyAlignment="1">
      <alignment horizontal="center"/>
    </xf>
    <xf numFmtId="0" fontId="2" fillId="10" borderId="0" xfId="0" applyFont="1" applyFill="1"/>
    <xf numFmtId="164" fontId="0" fillId="10" borderId="0" xfId="0" applyNumberFormat="1" applyFill="1"/>
    <xf numFmtId="164" fontId="8" fillId="10" borderId="0" xfId="0" applyNumberFormat="1" applyFont="1" applyFill="1"/>
    <xf numFmtId="0" fontId="0" fillId="10" borderId="0" xfId="0" applyFill="1"/>
    <xf numFmtId="9" fontId="0" fillId="0" borderId="0" xfId="2" applyFont="1"/>
    <xf numFmtId="49" fontId="0" fillId="2" borderId="0" xfId="0" applyNumberFormat="1" applyFill="1"/>
    <xf numFmtId="49" fontId="0" fillId="11" borderId="0" xfId="0" applyNumberFormat="1" applyFill="1"/>
    <xf numFmtId="49" fontId="0" fillId="7" borderId="0" xfId="0" applyNumberFormat="1" applyFill="1" applyAlignment="1">
      <alignment horizontal="center"/>
    </xf>
    <xf numFmtId="49" fontId="0" fillId="7" borderId="0" xfId="0" applyNumberFormat="1" applyFill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E18B-9D9F-FC4C-9D82-33F758FFA366}">
  <sheetPr codeName="Sheet1"/>
  <dimension ref="A1:AT119"/>
  <sheetViews>
    <sheetView topLeftCell="A74" zoomScale="125" zoomScaleNormal="75" workbookViewId="0">
      <pane xSplit="1" topLeftCell="AK1" activePane="topRight" state="frozen"/>
      <selection pane="topRight" activeCell="A81" sqref="A81:XFD81"/>
    </sheetView>
  </sheetViews>
  <sheetFormatPr baseColWidth="10" defaultRowHeight="16" x14ac:dyDescent="0.2"/>
  <cols>
    <col min="2" max="2" width="10.83203125" customWidth="1"/>
    <col min="3" max="3" width="22.33203125" customWidth="1"/>
    <col min="4" max="4" width="22.33203125" style="1" customWidth="1"/>
    <col min="5" max="8" width="10.83203125" customWidth="1"/>
    <col min="9" max="9" width="24.5" customWidth="1"/>
    <col min="10" max="10" width="25.1640625" customWidth="1"/>
    <col min="11" max="11" width="19.33203125" customWidth="1"/>
    <col min="12" max="13" width="32.83203125" hidden="1" customWidth="1"/>
    <col min="14" max="16" width="28.1640625" hidden="1" customWidth="1"/>
    <col min="17" max="17" width="19.6640625" hidden="1" customWidth="1"/>
    <col min="18" max="18" width="20" hidden="1" customWidth="1"/>
    <col min="19" max="19" width="18.5" hidden="1" customWidth="1"/>
    <col min="20" max="20" width="10.83203125" customWidth="1"/>
    <col min="21" max="21" width="25.1640625" hidden="1" customWidth="1"/>
    <col min="22" max="25" width="31" hidden="1" customWidth="1"/>
    <col min="26" max="26" width="31" customWidth="1"/>
    <col min="27" max="27" width="31" hidden="1" customWidth="1"/>
    <col min="28" max="28" width="31" customWidth="1"/>
    <col min="29" max="29" width="40.1640625" customWidth="1"/>
    <col min="30" max="31" width="31" hidden="1" customWidth="1"/>
    <col min="32" max="32" width="31" customWidth="1"/>
    <col min="33" max="36" width="31" hidden="1" customWidth="1"/>
    <col min="37" max="37" width="31" customWidth="1"/>
    <col min="38" max="38" width="31" hidden="1" customWidth="1"/>
    <col min="39" max="39" width="31" customWidth="1"/>
    <col min="40" max="44" width="31" hidden="1" customWidth="1"/>
    <col min="45" max="45" width="36.83203125" customWidth="1"/>
  </cols>
  <sheetData>
    <row r="1" spans="1:46" x14ac:dyDescent="0.2">
      <c r="A1" t="s">
        <v>0</v>
      </c>
      <c r="B1" t="s">
        <v>1</v>
      </c>
      <c r="C1" t="s">
        <v>1</v>
      </c>
      <c r="D1" s="1" t="s">
        <v>6</v>
      </c>
      <c r="E1" t="s">
        <v>2</v>
      </c>
      <c r="F1" t="s">
        <v>3</v>
      </c>
      <c r="G1" t="s">
        <v>4</v>
      </c>
      <c r="H1" t="s">
        <v>29</v>
      </c>
      <c r="I1" t="s">
        <v>5</v>
      </c>
      <c r="J1" t="s">
        <v>23</v>
      </c>
      <c r="K1" t="s">
        <v>48</v>
      </c>
      <c r="L1" t="s">
        <v>49</v>
      </c>
      <c r="N1" t="s">
        <v>59</v>
      </c>
      <c r="O1" t="s">
        <v>61</v>
      </c>
      <c r="P1" t="s">
        <v>62</v>
      </c>
      <c r="Q1" t="s">
        <v>51</v>
      </c>
      <c r="R1" t="s">
        <v>52</v>
      </c>
      <c r="S1" t="s">
        <v>58</v>
      </c>
      <c r="T1" t="s">
        <v>60</v>
      </c>
      <c r="U1" t="s">
        <v>69</v>
      </c>
      <c r="V1" t="s">
        <v>65</v>
      </c>
      <c r="W1" t="s">
        <v>72</v>
      </c>
      <c r="X1" t="s">
        <v>75</v>
      </c>
      <c r="Y1" t="s">
        <v>105</v>
      </c>
      <c r="Z1" t="s">
        <v>106</v>
      </c>
      <c r="AA1" t="s">
        <v>107</v>
      </c>
      <c r="AC1" t="s">
        <v>259</v>
      </c>
      <c r="AD1" t="s">
        <v>132</v>
      </c>
      <c r="AE1" t="s">
        <v>133</v>
      </c>
      <c r="AG1" t="s">
        <v>113</v>
      </c>
      <c r="AH1" t="s">
        <v>134</v>
      </c>
      <c r="AI1" t="s">
        <v>113</v>
      </c>
      <c r="AJ1" t="s">
        <v>177</v>
      </c>
      <c r="AK1" t="s">
        <v>256</v>
      </c>
      <c r="AL1" t="s">
        <v>178</v>
      </c>
      <c r="AM1" t="s">
        <v>257</v>
      </c>
      <c r="AN1" t="s">
        <v>181</v>
      </c>
      <c r="AO1" t="s">
        <v>182</v>
      </c>
      <c r="AP1" t="s">
        <v>184</v>
      </c>
      <c r="AQ1" t="s">
        <v>185</v>
      </c>
      <c r="AR1" t="s">
        <v>186</v>
      </c>
      <c r="AS1" t="s">
        <v>50</v>
      </c>
    </row>
    <row r="2" spans="1:46" s="5" customFormat="1" x14ac:dyDescent="0.2">
      <c r="A2" s="5">
        <v>1</v>
      </c>
      <c r="B2" s="5" t="s">
        <v>99</v>
      </c>
      <c r="C2" s="5">
        <v>1429</v>
      </c>
      <c r="D2" s="6" t="s">
        <v>7</v>
      </c>
      <c r="E2" s="5">
        <v>0.50780000000000003</v>
      </c>
      <c r="F2" s="5" t="s">
        <v>27</v>
      </c>
      <c r="G2" s="5" t="s">
        <v>28</v>
      </c>
      <c r="H2" s="5" t="s">
        <v>30</v>
      </c>
      <c r="I2" s="5" t="s">
        <v>31</v>
      </c>
      <c r="J2" s="5" t="s">
        <v>32</v>
      </c>
      <c r="K2" s="5">
        <v>1000</v>
      </c>
      <c r="L2" s="5">
        <v>50</v>
      </c>
      <c r="P2" s="5">
        <v>68</v>
      </c>
      <c r="T2" s="5">
        <v>200</v>
      </c>
      <c r="U2" s="5">
        <v>100</v>
      </c>
      <c r="V2" s="5">
        <v>34</v>
      </c>
      <c r="AS2" s="5">
        <f t="shared" ref="AS2:AS33" si="0">K2-(SUM(L2:AQ2))</f>
        <v>548</v>
      </c>
      <c r="AT2" s="5" t="s">
        <v>68</v>
      </c>
    </row>
    <row r="3" spans="1:46" x14ac:dyDescent="0.2">
      <c r="A3">
        <v>2</v>
      </c>
      <c r="B3" s="5" t="s">
        <v>99</v>
      </c>
      <c r="C3">
        <v>1429</v>
      </c>
      <c r="D3" s="1" t="s">
        <v>8</v>
      </c>
      <c r="E3">
        <v>0.5746</v>
      </c>
      <c r="F3" t="s">
        <v>27</v>
      </c>
      <c r="G3" t="s">
        <v>28</v>
      </c>
      <c r="H3" t="s">
        <v>30</v>
      </c>
      <c r="I3" t="s">
        <v>31</v>
      </c>
      <c r="J3" t="s">
        <v>32</v>
      </c>
      <c r="K3">
        <v>1000</v>
      </c>
      <c r="P3">
        <v>34</v>
      </c>
      <c r="AS3" s="5">
        <f t="shared" si="0"/>
        <v>966</v>
      </c>
    </row>
    <row r="4" spans="1:46" x14ac:dyDescent="0.2">
      <c r="A4">
        <v>3</v>
      </c>
      <c r="B4" s="5" t="s">
        <v>99</v>
      </c>
      <c r="C4">
        <v>1429</v>
      </c>
      <c r="D4" s="1" t="s">
        <v>9</v>
      </c>
      <c r="E4">
        <v>0.35510000000000003</v>
      </c>
      <c r="F4" t="s">
        <v>27</v>
      </c>
      <c r="G4" t="s">
        <v>28</v>
      </c>
      <c r="H4" t="s">
        <v>30</v>
      </c>
      <c r="I4" t="s">
        <v>31</v>
      </c>
      <c r="J4" t="s">
        <v>32</v>
      </c>
      <c r="K4">
        <v>1000</v>
      </c>
      <c r="P4">
        <v>34</v>
      </c>
      <c r="AS4" s="5">
        <f t="shared" si="0"/>
        <v>966</v>
      </c>
    </row>
    <row r="5" spans="1:46" s="5" customFormat="1" x14ac:dyDescent="0.2">
      <c r="A5" s="5">
        <v>4</v>
      </c>
      <c r="B5" s="5" t="s">
        <v>99</v>
      </c>
      <c r="C5" s="5">
        <v>1149</v>
      </c>
      <c r="D5" s="6" t="s">
        <v>7</v>
      </c>
      <c r="E5" s="5">
        <v>0.21290000000000001</v>
      </c>
      <c r="F5" s="5" t="s">
        <v>27</v>
      </c>
      <c r="G5" s="5" t="s">
        <v>33</v>
      </c>
      <c r="H5" s="5" t="s">
        <v>34</v>
      </c>
      <c r="I5" s="5" t="s">
        <v>35</v>
      </c>
      <c r="K5" s="5">
        <v>1000</v>
      </c>
      <c r="L5" s="5">
        <v>25</v>
      </c>
      <c r="N5" s="5">
        <v>60</v>
      </c>
      <c r="O5" s="5">
        <v>30</v>
      </c>
      <c r="P5" s="5">
        <v>34</v>
      </c>
      <c r="Q5" s="5">
        <v>50</v>
      </c>
      <c r="R5" s="5">
        <v>60</v>
      </c>
      <c r="T5" s="5">
        <v>200</v>
      </c>
      <c r="U5" s="5">
        <v>100</v>
      </c>
      <c r="Y5" s="5">
        <v>120</v>
      </c>
      <c r="AS5" s="5">
        <f t="shared" si="0"/>
        <v>321</v>
      </c>
      <c r="AT5" s="5" t="s">
        <v>68</v>
      </c>
    </row>
    <row r="6" spans="1:46" x14ac:dyDescent="0.2">
      <c r="A6">
        <v>5</v>
      </c>
      <c r="B6" s="5" t="s">
        <v>99</v>
      </c>
      <c r="C6">
        <v>1149</v>
      </c>
      <c r="D6" s="1" t="s">
        <v>10</v>
      </c>
      <c r="E6">
        <v>0.22189999999999999</v>
      </c>
      <c r="F6" t="s">
        <v>27</v>
      </c>
      <c r="G6" t="s">
        <v>33</v>
      </c>
      <c r="H6" t="s">
        <v>34</v>
      </c>
      <c r="I6" t="s">
        <v>35</v>
      </c>
      <c r="K6">
        <v>1000</v>
      </c>
      <c r="L6">
        <v>50</v>
      </c>
      <c r="P6">
        <v>34</v>
      </c>
      <c r="Y6" s="5">
        <v>120</v>
      </c>
      <c r="AS6" s="5">
        <f t="shared" si="0"/>
        <v>796</v>
      </c>
    </row>
    <row r="7" spans="1:46" s="5" customFormat="1" x14ac:dyDescent="0.2">
      <c r="A7" s="5">
        <v>6</v>
      </c>
      <c r="B7" s="5" t="s">
        <v>99</v>
      </c>
      <c r="C7" s="5">
        <v>1650</v>
      </c>
      <c r="D7" s="6" t="s">
        <v>7</v>
      </c>
      <c r="E7" s="5">
        <v>0.42520000000000002</v>
      </c>
      <c r="F7" s="5" t="s">
        <v>27</v>
      </c>
      <c r="G7" s="5" t="s">
        <v>36</v>
      </c>
      <c r="H7" s="5" t="s">
        <v>34</v>
      </c>
      <c r="I7" s="5" t="s">
        <v>31</v>
      </c>
      <c r="J7" s="5" t="s">
        <v>32</v>
      </c>
      <c r="K7" s="5">
        <v>1000</v>
      </c>
      <c r="L7" s="5">
        <v>50</v>
      </c>
      <c r="P7" s="5">
        <v>34</v>
      </c>
      <c r="T7" s="5">
        <v>200</v>
      </c>
      <c r="U7" s="5">
        <v>100</v>
      </c>
      <c r="Y7" s="5">
        <v>120</v>
      </c>
      <c r="AS7" s="5">
        <f t="shared" si="0"/>
        <v>496</v>
      </c>
    </row>
    <row r="8" spans="1:46" x14ac:dyDescent="0.2">
      <c r="A8">
        <v>7</v>
      </c>
      <c r="B8" s="5" t="s">
        <v>99</v>
      </c>
      <c r="C8">
        <v>1650</v>
      </c>
      <c r="D8" s="1" t="s">
        <v>11</v>
      </c>
      <c r="E8">
        <v>0.45519999999999999</v>
      </c>
      <c r="F8" t="s">
        <v>27</v>
      </c>
      <c r="G8" t="s">
        <v>36</v>
      </c>
      <c r="H8" t="s">
        <v>34</v>
      </c>
      <c r="I8" t="s">
        <v>31</v>
      </c>
      <c r="J8" t="s">
        <v>32</v>
      </c>
      <c r="K8">
        <v>1000</v>
      </c>
      <c r="L8">
        <v>50</v>
      </c>
      <c r="P8">
        <v>68</v>
      </c>
      <c r="V8" s="5">
        <v>34</v>
      </c>
      <c r="W8" s="5"/>
      <c r="X8" s="5"/>
      <c r="Y8" s="5">
        <v>120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f t="shared" si="0"/>
        <v>728</v>
      </c>
    </row>
    <row r="9" spans="1:46" s="5" customFormat="1" x14ac:dyDescent="0.2">
      <c r="A9" s="5">
        <v>8</v>
      </c>
      <c r="B9" s="5" t="s">
        <v>99</v>
      </c>
      <c r="C9" s="5">
        <v>1278</v>
      </c>
      <c r="D9" s="6" t="s">
        <v>7</v>
      </c>
      <c r="E9" s="5">
        <v>0.20699999999999999</v>
      </c>
      <c r="F9" s="5" t="s">
        <v>27</v>
      </c>
      <c r="G9" s="5" t="s">
        <v>33</v>
      </c>
      <c r="H9" s="5" t="s">
        <v>34</v>
      </c>
      <c r="I9" s="5" t="s">
        <v>37</v>
      </c>
      <c r="K9" s="5">
        <v>1000</v>
      </c>
      <c r="N9" s="5">
        <v>60</v>
      </c>
      <c r="O9" s="5">
        <v>30</v>
      </c>
      <c r="P9" s="5">
        <v>68</v>
      </c>
      <c r="Q9" s="5">
        <v>50</v>
      </c>
      <c r="R9" s="5">
        <v>60</v>
      </c>
      <c r="T9" s="5">
        <v>200</v>
      </c>
      <c r="U9" s="5">
        <v>100</v>
      </c>
      <c r="V9" s="5">
        <v>34</v>
      </c>
      <c r="Y9" s="5">
        <v>120</v>
      </c>
      <c r="AS9" s="5">
        <f t="shared" si="0"/>
        <v>278</v>
      </c>
    </row>
    <row r="10" spans="1:46" x14ac:dyDescent="0.2">
      <c r="A10">
        <v>9</v>
      </c>
      <c r="B10" s="5" t="s">
        <v>99</v>
      </c>
      <c r="C10">
        <v>1278</v>
      </c>
      <c r="D10" s="1" t="s">
        <v>8</v>
      </c>
      <c r="E10">
        <v>0.27310000000000001</v>
      </c>
      <c r="F10" t="s">
        <v>27</v>
      </c>
      <c r="G10" t="s">
        <v>33</v>
      </c>
      <c r="H10" t="s">
        <v>34</v>
      </c>
      <c r="I10" t="s">
        <v>37</v>
      </c>
      <c r="K10">
        <v>1000</v>
      </c>
      <c r="P10">
        <v>68</v>
      </c>
      <c r="V10" s="5">
        <v>34</v>
      </c>
      <c r="W10" s="5"/>
      <c r="X10" s="5"/>
      <c r="Y10" s="5">
        <v>120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f t="shared" si="0"/>
        <v>778</v>
      </c>
    </row>
    <row r="11" spans="1:46" x14ac:dyDescent="0.2">
      <c r="A11">
        <v>10</v>
      </c>
      <c r="B11" s="5" t="s">
        <v>99</v>
      </c>
      <c r="C11">
        <v>1278</v>
      </c>
      <c r="D11" s="1" t="s">
        <v>13</v>
      </c>
      <c r="E11">
        <v>0.32419999999999999</v>
      </c>
      <c r="F11" t="s">
        <v>27</v>
      </c>
      <c r="G11" t="s">
        <v>33</v>
      </c>
      <c r="H11" t="s">
        <v>34</v>
      </c>
      <c r="I11" t="s">
        <v>37</v>
      </c>
      <c r="K11">
        <v>1000</v>
      </c>
      <c r="P11" s="5">
        <v>34</v>
      </c>
      <c r="Y11" s="5">
        <v>120</v>
      </c>
      <c r="AS11" s="5">
        <f t="shared" si="0"/>
        <v>846</v>
      </c>
    </row>
    <row r="12" spans="1:46" s="5" customFormat="1" x14ac:dyDescent="0.2">
      <c r="A12" s="5">
        <v>11</v>
      </c>
      <c r="B12" s="5" t="s">
        <v>99</v>
      </c>
      <c r="C12" s="5">
        <v>1587</v>
      </c>
      <c r="D12" s="6" t="s">
        <v>7</v>
      </c>
      <c r="E12" s="5">
        <v>0.19500000000000001</v>
      </c>
      <c r="F12" s="5" t="s">
        <v>27</v>
      </c>
      <c r="G12" s="5" t="s">
        <v>28</v>
      </c>
      <c r="H12" s="5" t="s">
        <v>38</v>
      </c>
      <c r="I12" s="5" t="s">
        <v>37</v>
      </c>
      <c r="J12" s="5" t="s">
        <v>45</v>
      </c>
      <c r="K12" s="5">
        <v>1000</v>
      </c>
      <c r="L12" s="5">
        <v>25</v>
      </c>
      <c r="N12" s="5">
        <v>60</v>
      </c>
      <c r="O12" s="5">
        <v>30</v>
      </c>
      <c r="P12" s="5">
        <v>34</v>
      </c>
      <c r="Q12" s="5">
        <v>50</v>
      </c>
      <c r="R12" s="5">
        <v>60</v>
      </c>
      <c r="T12" s="5">
        <v>200</v>
      </c>
      <c r="U12" s="5">
        <v>100</v>
      </c>
      <c r="V12" s="5">
        <v>34</v>
      </c>
      <c r="AS12" s="5">
        <f t="shared" si="0"/>
        <v>407</v>
      </c>
    </row>
    <row r="13" spans="1:46" x14ac:dyDescent="0.2">
      <c r="A13">
        <v>12</v>
      </c>
      <c r="B13" s="5" t="s">
        <v>99</v>
      </c>
      <c r="C13">
        <v>1587</v>
      </c>
      <c r="D13" s="1" t="s">
        <v>8</v>
      </c>
      <c r="E13">
        <v>0.42770000000000002</v>
      </c>
      <c r="F13" t="s">
        <v>27</v>
      </c>
      <c r="G13" t="s">
        <v>28</v>
      </c>
      <c r="H13" t="s">
        <v>38</v>
      </c>
      <c r="I13" t="s">
        <v>37</v>
      </c>
      <c r="J13" t="s">
        <v>45</v>
      </c>
      <c r="K13">
        <v>1000</v>
      </c>
      <c r="L13">
        <v>50</v>
      </c>
      <c r="N13">
        <v>60</v>
      </c>
      <c r="P13" s="5">
        <v>34</v>
      </c>
      <c r="R13">
        <v>60</v>
      </c>
      <c r="V13" s="5">
        <v>34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f t="shared" si="0"/>
        <v>762</v>
      </c>
    </row>
    <row r="14" spans="1:46" x14ac:dyDescent="0.2">
      <c r="A14">
        <v>13</v>
      </c>
      <c r="B14" s="5" t="s">
        <v>99</v>
      </c>
      <c r="C14">
        <v>1587</v>
      </c>
      <c r="D14" s="1" t="s">
        <v>12</v>
      </c>
      <c r="E14">
        <v>0.40799999999999997</v>
      </c>
      <c r="F14" t="s">
        <v>27</v>
      </c>
      <c r="G14" t="s">
        <v>28</v>
      </c>
      <c r="H14" t="s">
        <v>38</v>
      </c>
      <c r="I14" t="s">
        <v>37</v>
      </c>
      <c r="J14" t="s">
        <v>45</v>
      </c>
      <c r="K14">
        <v>1000</v>
      </c>
      <c r="N14">
        <v>60</v>
      </c>
      <c r="P14" s="5">
        <v>34</v>
      </c>
      <c r="R14">
        <v>60</v>
      </c>
      <c r="V14" s="5">
        <v>34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f t="shared" si="0"/>
        <v>812</v>
      </c>
    </row>
    <row r="15" spans="1:46" s="5" customFormat="1" x14ac:dyDescent="0.2">
      <c r="A15" s="5">
        <v>14</v>
      </c>
      <c r="B15" s="5" t="s">
        <v>99</v>
      </c>
      <c r="C15" s="5">
        <v>1593</v>
      </c>
      <c r="D15" s="6" t="s">
        <v>15</v>
      </c>
      <c r="E15" s="5">
        <v>0.44119999999999998</v>
      </c>
      <c r="F15" s="5" t="s">
        <v>27</v>
      </c>
      <c r="G15" s="5" t="s">
        <v>39</v>
      </c>
      <c r="H15" s="5" t="s">
        <v>30</v>
      </c>
      <c r="I15" s="5" t="s">
        <v>37</v>
      </c>
      <c r="K15" s="5">
        <v>1000</v>
      </c>
      <c r="L15" s="5">
        <v>50</v>
      </c>
      <c r="N15" s="5">
        <v>60</v>
      </c>
      <c r="P15" s="5">
        <v>34</v>
      </c>
      <c r="R15" s="5">
        <v>60</v>
      </c>
      <c r="T15" s="5">
        <v>200</v>
      </c>
      <c r="U15" s="5">
        <v>100</v>
      </c>
      <c r="AS15" s="5">
        <f t="shared" si="0"/>
        <v>496</v>
      </c>
    </row>
    <row r="16" spans="1:46" x14ac:dyDescent="0.2">
      <c r="A16">
        <v>15</v>
      </c>
      <c r="B16" s="5" t="s">
        <v>99</v>
      </c>
      <c r="C16">
        <v>1593</v>
      </c>
      <c r="D16" s="1" t="s">
        <v>14</v>
      </c>
      <c r="E16">
        <v>0.53600000000000003</v>
      </c>
      <c r="F16" t="s">
        <v>27</v>
      </c>
      <c r="G16" t="s">
        <v>39</v>
      </c>
      <c r="H16" t="s">
        <v>30</v>
      </c>
      <c r="I16" t="s">
        <v>37</v>
      </c>
      <c r="K16">
        <v>1000</v>
      </c>
      <c r="P16">
        <v>34</v>
      </c>
      <c r="AS16" s="5">
        <f t="shared" si="0"/>
        <v>966</v>
      </c>
    </row>
    <row r="17" spans="1:45" s="5" customFormat="1" x14ac:dyDescent="0.2">
      <c r="A17" s="5">
        <v>16</v>
      </c>
      <c r="B17" s="5" t="s">
        <v>99</v>
      </c>
      <c r="C17" s="5">
        <v>1652</v>
      </c>
      <c r="D17" s="6" t="s">
        <v>7</v>
      </c>
      <c r="E17" s="5">
        <v>0.35799999999999998</v>
      </c>
      <c r="F17" s="5" t="s">
        <v>27</v>
      </c>
      <c r="G17" s="5" t="s">
        <v>36</v>
      </c>
      <c r="H17" s="5" t="s">
        <v>34</v>
      </c>
      <c r="I17" s="5" t="s">
        <v>31</v>
      </c>
      <c r="J17" s="5" t="s">
        <v>32</v>
      </c>
      <c r="K17" s="5">
        <v>1000</v>
      </c>
      <c r="L17" s="5">
        <v>50</v>
      </c>
      <c r="P17" s="5">
        <v>34</v>
      </c>
      <c r="T17" s="5">
        <v>200</v>
      </c>
      <c r="U17" s="5">
        <v>100</v>
      </c>
      <c r="V17" s="5">
        <v>34</v>
      </c>
      <c r="AS17" s="5">
        <f t="shared" si="0"/>
        <v>582</v>
      </c>
    </row>
    <row r="18" spans="1:45" x14ac:dyDescent="0.2">
      <c r="A18">
        <v>17</v>
      </c>
      <c r="B18" s="5" t="s">
        <v>99</v>
      </c>
      <c r="C18">
        <v>1652</v>
      </c>
      <c r="D18" s="1" t="s">
        <v>8</v>
      </c>
      <c r="E18">
        <v>0.45610000000000001</v>
      </c>
      <c r="F18" t="s">
        <v>27</v>
      </c>
      <c r="G18" t="s">
        <v>36</v>
      </c>
      <c r="H18" t="s">
        <v>34</v>
      </c>
      <c r="I18" t="s">
        <v>31</v>
      </c>
      <c r="J18" t="s">
        <v>32</v>
      </c>
      <c r="K18">
        <v>1000</v>
      </c>
      <c r="O18">
        <v>30</v>
      </c>
      <c r="P18" s="5">
        <v>34</v>
      </c>
      <c r="Q18">
        <v>50</v>
      </c>
      <c r="V18" s="5">
        <v>34</v>
      </c>
      <c r="W18" s="5"/>
      <c r="X18" s="5"/>
      <c r="Y18" s="5">
        <v>120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f t="shared" si="0"/>
        <v>732</v>
      </c>
    </row>
    <row r="19" spans="1:45" x14ac:dyDescent="0.2">
      <c r="A19">
        <v>18</v>
      </c>
      <c r="B19" s="5" t="s">
        <v>99</v>
      </c>
      <c r="C19">
        <v>1652</v>
      </c>
      <c r="D19" s="1" t="s">
        <v>12</v>
      </c>
      <c r="E19">
        <v>0.38479999999999998</v>
      </c>
      <c r="F19" t="s">
        <v>27</v>
      </c>
      <c r="G19" t="s">
        <v>36</v>
      </c>
      <c r="H19" t="s">
        <v>34</v>
      </c>
      <c r="I19" t="s">
        <v>31</v>
      </c>
      <c r="J19" t="s">
        <v>32</v>
      </c>
      <c r="K19">
        <v>1000</v>
      </c>
      <c r="P19" s="5">
        <v>34</v>
      </c>
      <c r="V19" s="5">
        <v>34</v>
      </c>
      <c r="W19" s="5"/>
      <c r="X19" s="5"/>
      <c r="Y19" s="5">
        <v>120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f t="shared" si="0"/>
        <v>812</v>
      </c>
    </row>
    <row r="20" spans="1:45" s="5" customFormat="1" x14ac:dyDescent="0.2">
      <c r="A20" s="5">
        <v>19</v>
      </c>
      <c r="B20" s="5" t="s">
        <v>70</v>
      </c>
      <c r="C20" s="5">
        <v>180413</v>
      </c>
      <c r="D20" s="6" t="s">
        <v>17</v>
      </c>
      <c r="E20" s="5">
        <v>0.27729999999999999</v>
      </c>
      <c r="F20" s="5" t="s">
        <v>40</v>
      </c>
      <c r="G20" s="5" t="s">
        <v>28</v>
      </c>
      <c r="H20" s="5" t="s">
        <v>30</v>
      </c>
      <c r="I20" s="5" t="s">
        <v>41</v>
      </c>
      <c r="K20" s="5">
        <v>1000</v>
      </c>
      <c r="L20" s="5">
        <v>250</v>
      </c>
      <c r="N20" s="5">
        <v>175</v>
      </c>
      <c r="P20" s="5">
        <v>102</v>
      </c>
      <c r="R20" s="5">
        <v>115</v>
      </c>
      <c r="T20" s="5">
        <v>250</v>
      </c>
      <c r="V20" s="5">
        <v>68</v>
      </c>
      <c r="AS20" s="5">
        <f t="shared" si="0"/>
        <v>40</v>
      </c>
    </row>
    <row r="21" spans="1:45" x14ac:dyDescent="0.2">
      <c r="A21">
        <v>20</v>
      </c>
      <c r="B21" s="5" t="s">
        <v>180</v>
      </c>
      <c r="C21">
        <v>180413</v>
      </c>
      <c r="D21" s="1" t="s">
        <v>13</v>
      </c>
      <c r="E21">
        <v>0.25629999999999997</v>
      </c>
      <c r="F21" t="s">
        <v>40</v>
      </c>
      <c r="G21" t="s">
        <v>28</v>
      </c>
      <c r="H21" t="s">
        <v>30</v>
      </c>
      <c r="I21" t="s">
        <v>41</v>
      </c>
      <c r="K21">
        <v>1000</v>
      </c>
      <c r="O21">
        <v>25</v>
      </c>
      <c r="P21">
        <v>68</v>
      </c>
      <c r="Q21">
        <v>125</v>
      </c>
      <c r="T21">
        <v>250</v>
      </c>
      <c r="U21">
        <v>100</v>
      </c>
      <c r="V21" s="5">
        <v>34</v>
      </c>
      <c r="W21" s="5">
        <v>100</v>
      </c>
      <c r="X21" s="5">
        <f>250+150</f>
        <v>400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f t="shared" si="0"/>
        <v>-102</v>
      </c>
    </row>
    <row r="22" spans="1:45" s="5" customFormat="1" x14ac:dyDescent="0.2">
      <c r="A22" s="5">
        <v>21</v>
      </c>
      <c r="B22" s="5" t="s">
        <v>99</v>
      </c>
      <c r="C22" s="5">
        <v>1665</v>
      </c>
      <c r="D22" s="7" t="s">
        <v>7</v>
      </c>
      <c r="E22" s="5">
        <v>0.24590000000000001</v>
      </c>
      <c r="F22" s="5" t="s">
        <v>27</v>
      </c>
      <c r="G22" s="5" t="s">
        <v>36</v>
      </c>
      <c r="H22" s="5" t="s">
        <v>38</v>
      </c>
      <c r="I22" s="5" t="s">
        <v>37</v>
      </c>
      <c r="K22" s="5">
        <v>1000</v>
      </c>
      <c r="P22" s="5">
        <v>34</v>
      </c>
      <c r="T22" s="5">
        <v>200</v>
      </c>
      <c r="U22" s="5">
        <v>100</v>
      </c>
      <c r="V22" s="5">
        <v>34</v>
      </c>
      <c r="AS22" s="5">
        <f t="shared" si="0"/>
        <v>632</v>
      </c>
    </row>
    <row r="23" spans="1:45" x14ac:dyDescent="0.2">
      <c r="A23">
        <v>22</v>
      </c>
      <c r="B23" s="5" t="s">
        <v>99</v>
      </c>
      <c r="C23">
        <v>1665</v>
      </c>
      <c r="D23" s="2" t="s">
        <v>8</v>
      </c>
      <c r="E23">
        <v>0.26050000000000001</v>
      </c>
      <c r="F23" t="s">
        <v>27</v>
      </c>
      <c r="G23" t="s">
        <v>36</v>
      </c>
      <c r="H23" t="s">
        <v>38</v>
      </c>
      <c r="I23" t="s">
        <v>37</v>
      </c>
      <c r="K23">
        <v>1000</v>
      </c>
      <c r="L23">
        <v>50</v>
      </c>
      <c r="P23" s="5">
        <v>34</v>
      </c>
      <c r="V23" s="5">
        <v>34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f t="shared" si="0"/>
        <v>882</v>
      </c>
    </row>
    <row r="24" spans="1:45" x14ac:dyDescent="0.2">
      <c r="A24">
        <v>23</v>
      </c>
      <c r="B24" s="5" t="s">
        <v>99</v>
      </c>
      <c r="C24">
        <v>1665</v>
      </c>
      <c r="D24" s="2" t="s">
        <v>13</v>
      </c>
      <c r="E24">
        <v>0.29670000000000002</v>
      </c>
      <c r="F24" t="s">
        <v>27</v>
      </c>
      <c r="G24" t="s">
        <v>36</v>
      </c>
      <c r="H24" t="s">
        <v>38</v>
      </c>
      <c r="I24" t="s">
        <v>37</v>
      </c>
      <c r="K24">
        <v>1000</v>
      </c>
      <c r="P24" s="5">
        <v>34</v>
      </c>
      <c r="V24" s="5">
        <v>34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f t="shared" si="0"/>
        <v>932</v>
      </c>
    </row>
    <row r="25" spans="1:45" s="5" customFormat="1" x14ac:dyDescent="0.2">
      <c r="A25" s="5">
        <v>24</v>
      </c>
      <c r="B25" s="5" t="s">
        <v>100</v>
      </c>
      <c r="C25" s="5">
        <v>2017030</v>
      </c>
      <c r="D25" s="6" t="s">
        <v>19</v>
      </c>
      <c r="E25" s="5">
        <v>0.22620000000000001</v>
      </c>
      <c r="F25" s="5" t="s">
        <v>40</v>
      </c>
      <c r="G25" s="5" t="s">
        <v>42</v>
      </c>
      <c r="H25" s="5" t="s">
        <v>43</v>
      </c>
      <c r="I25" s="5" t="s">
        <v>41</v>
      </c>
      <c r="J25" s="5" t="s">
        <v>24</v>
      </c>
      <c r="K25" s="5">
        <v>1000</v>
      </c>
      <c r="L25" s="5">
        <v>250</v>
      </c>
      <c r="N25" s="5">
        <v>175</v>
      </c>
      <c r="P25" s="5">
        <v>34</v>
      </c>
      <c r="R25" s="5">
        <v>115</v>
      </c>
      <c r="T25" s="5">
        <v>250</v>
      </c>
      <c r="U25" s="5">
        <v>50</v>
      </c>
      <c r="AS25" s="5">
        <f t="shared" si="0"/>
        <v>126</v>
      </c>
    </row>
    <row r="26" spans="1:45" x14ac:dyDescent="0.2">
      <c r="A26">
        <v>25</v>
      </c>
      <c r="B26" s="5" t="s">
        <v>100</v>
      </c>
      <c r="C26">
        <v>2017030</v>
      </c>
      <c r="D26" s="1" t="s">
        <v>20</v>
      </c>
      <c r="E26">
        <v>0.12939999999999999</v>
      </c>
      <c r="F26" t="s">
        <v>40</v>
      </c>
      <c r="G26" t="s">
        <v>42</v>
      </c>
      <c r="H26" t="s">
        <v>43</v>
      </c>
      <c r="I26" t="s">
        <v>41</v>
      </c>
      <c r="J26" t="s">
        <v>24</v>
      </c>
      <c r="K26">
        <v>1000</v>
      </c>
      <c r="O26">
        <v>25</v>
      </c>
      <c r="P26">
        <v>34</v>
      </c>
      <c r="Q26">
        <v>125</v>
      </c>
      <c r="T26">
        <v>250</v>
      </c>
      <c r="U26">
        <v>100</v>
      </c>
      <c r="W26">
        <v>100</v>
      </c>
      <c r="X26">
        <f>250+150</f>
        <v>400</v>
      </c>
      <c r="AS26" s="5">
        <f t="shared" si="0"/>
        <v>-34</v>
      </c>
    </row>
    <row r="27" spans="1:45" s="5" customFormat="1" x14ac:dyDescent="0.2">
      <c r="A27" s="5">
        <v>26</v>
      </c>
      <c r="B27" s="5" t="s">
        <v>99</v>
      </c>
      <c r="C27" s="5">
        <v>1585</v>
      </c>
      <c r="D27" s="6" t="s">
        <v>7</v>
      </c>
      <c r="E27" s="5">
        <v>0.23</v>
      </c>
      <c r="F27" s="5" t="s">
        <v>27</v>
      </c>
      <c r="G27" s="5" t="s">
        <v>44</v>
      </c>
      <c r="H27" s="5" t="s">
        <v>34</v>
      </c>
      <c r="I27" s="5" t="s">
        <v>31</v>
      </c>
      <c r="J27" s="5" t="s">
        <v>45</v>
      </c>
      <c r="K27" s="5">
        <v>1000</v>
      </c>
      <c r="P27" s="5">
        <v>34</v>
      </c>
      <c r="T27" s="5">
        <v>200</v>
      </c>
      <c r="U27" s="5">
        <v>100</v>
      </c>
      <c r="V27" s="5">
        <v>34</v>
      </c>
      <c r="Y27" s="5">
        <v>120</v>
      </c>
      <c r="AS27" s="5">
        <f t="shared" si="0"/>
        <v>512</v>
      </c>
    </row>
    <row r="28" spans="1:45" x14ac:dyDescent="0.2">
      <c r="A28">
        <v>27</v>
      </c>
      <c r="B28" s="5" t="s">
        <v>99</v>
      </c>
      <c r="C28">
        <v>1585</v>
      </c>
      <c r="D28" s="1" t="s">
        <v>8</v>
      </c>
      <c r="E28">
        <v>0.22170000000000001</v>
      </c>
      <c r="F28" t="s">
        <v>27</v>
      </c>
      <c r="G28" t="s">
        <v>44</v>
      </c>
      <c r="H28" t="s">
        <v>34</v>
      </c>
      <c r="I28" t="s">
        <v>31</v>
      </c>
      <c r="J28" t="s">
        <v>45</v>
      </c>
      <c r="K28">
        <v>1000</v>
      </c>
      <c r="P28" s="5">
        <v>34</v>
      </c>
      <c r="V28" s="5">
        <v>34</v>
      </c>
      <c r="W28" s="5"/>
      <c r="X28" s="5"/>
      <c r="Y28" s="5">
        <v>120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f t="shared" si="0"/>
        <v>812</v>
      </c>
    </row>
    <row r="29" spans="1:45" x14ac:dyDescent="0.2">
      <c r="A29">
        <v>28</v>
      </c>
      <c r="B29" s="5" t="s">
        <v>99</v>
      </c>
      <c r="C29">
        <v>1585</v>
      </c>
      <c r="D29" s="1" t="s">
        <v>21</v>
      </c>
      <c r="E29">
        <v>0.29730000000000001</v>
      </c>
      <c r="F29" t="s">
        <v>27</v>
      </c>
      <c r="G29" t="s">
        <v>44</v>
      </c>
      <c r="H29" t="s">
        <v>34</v>
      </c>
      <c r="I29" t="s">
        <v>31</v>
      </c>
      <c r="J29" t="s">
        <v>45</v>
      </c>
      <c r="K29">
        <v>1000</v>
      </c>
      <c r="L29">
        <v>50</v>
      </c>
      <c r="P29" s="5">
        <v>34</v>
      </c>
      <c r="V29" s="5">
        <v>34</v>
      </c>
      <c r="W29" s="5"/>
      <c r="X29" s="5"/>
      <c r="Y29" s="5">
        <v>120</v>
      </c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f t="shared" si="0"/>
        <v>762</v>
      </c>
    </row>
    <row r="30" spans="1:45" s="5" customFormat="1" x14ac:dyDescent="0.2">
      <c r="A30" s="5">
        <v>29</v>
      </c>
      <c r="B30" s="5" t="s">
        <v>99</v>
      </c>
      <c r="C30" s="5">
        <v>1524</v>
      </c>
      <c r="D30" s="7" t="s">
        <v>7</v>
      </c>
      <c r="E30" s="5">
        <v>0.32600000000000001</v>
      </c>
      <c r="F30" s="5" t="s">
        <v>27</v>
      </c>
      <c r="G30" s="5" t="s">
        <v>36</v>
      </c>
      <c r="H30" s="5" t="s">
        <v>38</v>
      </c>
      <c r="I30" s="5" t="s">
        <v>37</v>
      </c>
      <c r="K30" s="5">
        <v>1000</v>
      </c>
      <c r="P30" s="5">
        <v>34</v>
      </c>
      <c r="S30" s="5">
        <v>150</v>
      </c>
      <c r="U30" s="5">
        <v>100</v>
      </c>
      <c r="V30" s="5">
        <v>34</v>
      </c>
      <c r="AS30" s="5">
        <f t="shared" si="0"/>
        <v>682</v>
      </c>
    </row>
    <row r="31" spans="1:45" x14ac:dyDescent="0.2">
      <c r="A31">
        <v>30</v>
      </c>
      <c r="B31" s="5" t="s">
        <v>99</v>
      </c>
      <c r="C31">
        <v>1524</v>
      </c>
      <c r="D31" s="2" t="s">
        <v>8</v>
      </c>
      <c r="E31">
        <v>0.23130000000000001</v>
      </c>
      <c r="F31" t="s">
        <v>27</v>
      </c>
      <c r="G31" t="s">
        <v>36</v>
      </c>
      <c r="H31" t="s">
        <v>38</v>
      </c>
      <c r="I31" t="s">
        <v>37</v>
      </c>
      <c r="K31">
        <v>1000</v>
      </c>
      <c r="L31">
        <v>50</v>
      </c>
      <c r="P31" s="5">
        <v>34</v>
      </c>
      <c r="S31">
        <v>150</v>
      </c>
      <c r="V31" s="5">
        <v>34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f t="shared" si="0"/>
        <v>732</v>
      </c>
    </row>
    <row r="32" spans="1:45" x14ac:dyDescent="0.2">
      <c r="A32">
        <v>31</v>
      </c>
      <c r="B32" s="5" t="s">
        <v>99</v>
      </c>
      <c r="C32">
        <v>1524</v>
      </c>
      <c r="D32" s="2" t="s">
        <v>12</v>
      </c>
      <c r="E32">
        <v>0.2515</v>
      </c>
      <c r="F32" t="s">
        <v>27</v>
      </c>
      <c r="G32" t="s">
        <v>36</v>
      </c>
      <c r="H32" t="s">
        <v>38</v>
      </c>
      <c r="I32" t="s">
        <v>37</v>
      </c>
      <c r="K32">
        <v>1000</v>
      </c>
      <c r="P32" s="5">
        <v>34</v>
      </c>
      <c r="S32">
        <v>150</v>
      </c>
      <c r="V32" s="5">
        <v>34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f t="shared" si="0"/>
        <v>782</v>
      </c>
    </row>
    <row r="33" spans="1:45" s="5" customFormat="1" x14ac:dyDescent="0.2">
      <c r="A33" s="5">
        <v>32</v>
      </c>
      <c r="B33" s="5" t="s">
        <v>100</v>
      </c>
      <c r="C33" s="5">
        <v>2011090</v>
      </c>
      <c r="D33" s="6" t="s">
        <v>19</v>
      </c>
      <c r="E33" s="5">
        <v>0.3906</v>
      </c>
      <c r="F33" s="5" t="s">
        <v>40</v>
      </c>
      <c r="G33" s="5" t="s">
        <v>36</v>
      </c>
      <c r="H33" s="5" t="s">
        <v>38</v>
      </c>
      <c r="I33" s="5" t="s">
        <v>37</v>
      </c>
      <c r="J33" s="5" t="s">
        <v>46</v>
      </c>
      <c r="K33" s="5">
        <v>1000</v>
      </c>
      <c r="L33" s="5">
        <v>250</v>
      </c>
      <c r="N33" s="5">
        <v>60</v>
      </c>
      <c r="P33" s="5">
        <v>34</v>
      </c>
      <c r="T33" s="5">
        <v>250</v>
      </c>
      <c r="U33" s="5">
        <v>50</v>
      </c>
      <c r="W33" s="5">
        <v>100</v>
      </c>
      <c r="X33" s="5">
        <v>150</v>
      </c>
      <c r="AS33" s="5">
        <f t="shared" si="0"/>
        <v>106</v>
      </c>
    </row>
    <row r="34" spans="1:45" x14ac:dyDescent="0.2">
      <c r="A34">
        <v>33</v>
      </c>
      <c r="B34" s="5" t="s">
        <v>100</v>
      </c>
      <c r="C34">
        <v>2011090</v>
      </c>
      <c r="D34" s="1" t="s">
        <v>11</v>
      </c>
      <c r="E34">
        <v>0.28029999999999999</v>
      </c>
      <c r="F34" t="s">
        <v>40</v>
      </c>
      <c r="G34" t="s">
        <v>36</v>
      </c>
      <c r="H34" t="s">
        <v>38</v>
      </c>
      <c r="I34" t="s">
        <v>37</v>
      </c>
      <c r="K34">
        <v>1000</v>
      </c>
      <c r="P34">
        <v>34</v>
      </c>
      <c r="Q34">
        <v>125</v>
      </c>
      <c r="T34">
        <v>250</v>
      </c>
      <c r="W34" s="5">
        <v>100</v>
      </c>
      <c r="X34" s="5">
        <v>250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f t="shared" ref="AS34:AS65" si="1">K34-(SUM(L34:AQ34))</f>
        <v>241</v>
      </c>
    </row>
    <row r="35" spans="1:45" s="5" customFormat="1" x14ac:dyDescent="0.2">
      <c r="A35" s="5">
        <v>34</v>
      </c>
      <c r="B35" s="5" t="s">
        <v>99</v>
      </c>
      <c r="C35" s="5">
        <v>1035</v>
      </c>
      <c r="D35" s="7" t="s">
        <v>7</v>
      </c>
      <c r="E35" s="5">
        <v>0.183</v>
      </c>
      <c r="F35" s="5" t="s">
        <v>40</v>
      </c>
      <c r="G35" s="5" t="s">
        <v>33</v>
      </c>
      <c r="H35" s="5" t="s">
        <v>34</v>
      </c>
      <c r="I35" s="5" t="s">
        <v>35</v>
      </c>
      <c r="J35" s="5" t="s">
        <v>47</v>
      </c>
      <c r="K35" s="5">
        <v>1000</v>
      </c>
      <c r="N35" s="5">
        <v>175</v>
      </c>
      <c r="P35" s="5">
        <v>34</v>
      </c>
      <c r="Q35" s="5">
        <v>125</v>
      </c>
      <c r="R35" s="5">
        <v>115</v>
      </c>
      <c r="S35" s="5">
        <v>75</v>
      </c>
      <c r="T35" s="5">
        <v>250</v>
      </c>
      <c r="U35" s="5">
        <v>50</v>
      </c>
      <c r="X35" s="5">
        <v>150</v>
      </c>
      <c r="AS35" s="5">
        <f t="shared" si="1"/>
        <v>26</v>
      </c>
    </row>
    <row r="36" spans="1:45" x14ac:dyDescent="0.2">
      <c r="A36">
        <v>35</v>
      </c>
      <c r="B36" s="5" t="s">
        <v>99</v>
      </c>
      <c r="C36">
        <v>1035</v>
      </c>
      <c r="D36" s="2" t="s">
        <v>8</v>
      </c>
      <c r="E36">
        <v>0.26419999999999999</v>
      </c>
      <c r="F36" t="s">
        <v>40</v>
      </c>
      <c r="G36" t="s">
        <v>33</v>
      </c>
      <c r="H36" t="s">
        <v>34</v>
      </c>
      <c r="I36" t="s">
        <v>35</v>
      </c>
      <c r="J36" t="s">
        <v>47</v>
      </c>
      <c r="K36">
        <v>1000</v>
      </c>
      <c r="L36">
        <v>250</v>
      </c>
      <c r="P36">
        <v>34</v>
      </c>
      <c r="S36">
        <v>75</v>
      </c>
      <c r="T36">
        <v>250</v>
      </c>
      <c r="U36">
        <v>100</v>
      </c>
      <c r="W36" s="5">
        <v>100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f t="shared" si="1"/>
        <v>191</v>
      </c>
    </row>
    <row r="37" spans="1:45" x14ac:dyDescent="0.2">
      <c r="A37">
        <v>36</v>
      </c>
      <c r="B37" s="5" t="s">
        <v>99</v>
      </c>
      <c r="C37">
        <v>1035</v>
      </c>
      <c r="D37" s="2" t="s">
        <v>25</v>
      </c>
      <c r="E37">
        <v>0.18490000000000001</v>
      </c>
      <c r="F37" t="s">
        <v>40</v>
      </c>
      <c r="G37" t="s">
        <v>33</v>
      </c>
      <c r="H37" t="s">
        <v>34</v>
      </c>
      <c r="I37" t="s">
        <v>35</v>
      </c>
      <c r="J37" t="s">
        <v>47</v>
      </c>
      <c r="K37">
        <v>1000</v>
      </c>
      <c r="N37">
        <v>175</v>
      </c>
      <c r="O37">
        <v>25</v>
      </c>
      <c r="P37">
        <v>34</v>
      </c>
      <c r="R37">
        <v>115</v>
      </c>
      <c r="S37">
        <v>75</v>
      </c>
      <c r="W37" s="5">
        <v>100</v>
      </c>
      <c r="X37" s="5">
        <v>250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f t="shared" si="1"/>
        <v>226</v>
      </c>
    </row>
    <row r="38" spans="1:45" s="5" customFormat="1" x14ac:dyDescent="0.2">
      <c r="A38" s="5">
        <v>37</v>
      </c>
      <c r="B38" s="5" t="s">
        <v>99</v>
      </c>
      <c r="C38" s="5">
        <v>1650</v>
      </c>
      <c r="D38" s="6" t="s">
        <v>19</v>
      </c>
      <c r="E38" s="5">
        <v>0.17979999999999999</v>
      </c>
      <c r="F38" s="5" t="s">
        <v>27</v>
      </c>
      <c r="G38" s="5" t="s">
        <v>36</v>
      </c>
      <c r="H38" s="5" t="s">
        <v>34</v>
      </c>
      <c r="I38" s="5" t="s">
        <v>31</v>
      </c>
      <c r="K38" s="5">
        <v>1000</v>
      </c>
      <c r="P38" s="5">
        <v>34</v>
      </c>
      <c r="T38" s="5">
        <v>200</v>
      </c>
      <c r="V38" s="5">
        <v>34</v>
      </c>
      <c r="AS38" s="5">
        <f t="shared" si="1"/>
        <v>732</v>
      </c>
    </row>
    <row r="39" spans="1:45" x14ac:dyDescent="0.2">
      <c r="A39">
        <v>38</v>
      </c>
      <c r="B39" s="5" t="s">
        <v>99</v>
      </c>
      <c r="C39">
        <v>1650</v>
      </c>
      <c r="D39" s="1" t="s">
        <v>26</v>
      </c>
      <c r="E39">
        <v>0.40079999999999999</v>
      </c>
      <c r="F39" t="s">
        <v>27</v>
      </c>
      <c r="G39" t="s">
        <v>36</v>
      </c>
      <c r="H39" t="s">
        <v>34</v>
      </c>
      <c r="I39" t="s">
        <v>31</v>
      </c>
      <c r="K39">
        <v>1000</v>
      </c>
      <c r="O39">
        <v>30</v>
      </c>
      <c r="P39" s="5">
        <v>34</v>
      </c>
      <c r="Q39">
        <v>50</v>
      </c>
      <c r="AS39" s="5">
        <f t="shared" si="1"/>
        <v>886</v>
      </c>
    </row>
    <row r="40" spans="1:45" x14ac:dyDescent="0.2">
      <c r="A40">
        <v>40</v>
      </c>
      <c r="B40" s="5" t="s">
        <v>99</v>
      </c>
      <c r="C40">
        <v>1149</v>
      </c>
      <c r="E40">
        <v>0.1072</v>
      </c>
      <c r="F40" t="s">
        <v>27</v>
      </c>
      <c r="G40" t="s">
        <v>33</v>
      </c>
      <c r="H40" t="s">
        <v>34</v>
      </c>
      <c r="I40" t="s">
        <v>35</v>
      </c>
      <c r="J40" t="s">
        <v>71</v>
      </c>
      <c r="K40">
        <v>1000</v>
      </c>
      <c r="AS40" s="5">
        <f t="shared" si="1"/>
        <v>1000</v>
      </c>
    </row>
    <row r="41" spans="1:45" x14ac:dyDescent="0.2">
      <c r="A41">
        <v>41</v>
      </c>
      <c r="B41" s="5" t="s">
        <v>99</v>
      </c>
      <c r="C41">
        <v>1665</v>
      </c>
      <c r="D41" s="1" t="s">
        <v>8</v>
      </c>
      <c r="E41">
        <v>0.1288</v>
      </c>
      <c r="F41" t="s">
        <v>27</v>
      </c>
      <c r="G41" t="s">
        <v>36</v>
      </c>
      <c r="H41" t="s">
        <v>38</v>
      </c>
      <c r="I41" t="s">
        <v>37</v>
      </c>
      <c r="J41" t="s">
        <v>71</v>
      </c>
      <c r="K41">
        <v>1000</v>
      </c>
      <c r="AS41" s="5">
        <f t="shared" si="1"/>
        <v>1000</v>
      </c>
    </row>
    <row r="42" spans="1:45" x14ac:dyDescent="0.2">
      <c r="A42">
        <v>42</v>
      </c>
      <c r="B42" s="5" t="s">
        <v>99</v>
      </c>
      <c r="C42">
        <v>1650</v>
      </c>
      <c r="D42" s="1" t="s">
        <v>26</v>
      </c>
      <c r="E42">
        <v>0.1353</v>
      </c>
      <c r="F42" t="s">
        <v>27</v>
      </c>
      <c r="G42" t="s">
        <v>36</v>
      </c>
      <c r="H42" t="s">
        <v>34</v>
      </c>
      <c r="I42" t="s">
        <v>31</v>
      </c>
      <c r="J42" t="s">
        <v>71</v>
      </c>
      <c r="K42">
        <v>1000</v>
      </c>
      <c r="AS42" s="5">
        <f t="shared" si="1"/>
        <v>1000</v>
      </c>
    </row>
    <row r="43" spans="1:45" x14ac:dyDescent="0.2">
      <c r="A43">
        <v>43</v>
      </c>
      <c r="B43" s="5" t="s">
        <v>99</v>
      </c>
      <c r="C43">
        <v>1035</v>
      </c>
      <c r="D43" s="1" t="s">
        <v>25</v>
      </c>
      <c r="E43">
        <v>0.1298</v>
      </c>
      <c r="F43" t="s">
        <v>40</v>
      </c>
      <c r="G43" t="s">
        <v>33</v>
      </c>
      <c r="H43" t="s">
        <v>34</v>
      </c>
      <c r="I43" t="s">
        <v>35</v>
      </c>
      <c r="J43" t="s">
        <v>71</v>
      </c>
      <c r="K43">
        <v>1000</v>
      </c>
      <c r="L43">
        <f>SUM(L39:L39)</f>
        <v>0</v>
      </c>
      <c r="Q43">
        <f>SUM(Q39:Q39)</f>
        <v>50</v>
      </c>
      <c r="R43">
        <f>SUM(R39:R39)</f>
        <v>0</v>
      </c>
      <c r="S43">
        <f>SUM(S39:S39)</f>
        <v>0</v>
      </c>
      <c r="T43">
        <f>SUM(T39:T39)</f>
        <v>0</v>
      </c>
      <c r="AS43" s="5">
        <f t="shared" si="1"/>
        <v>950</v>
      </c>
    </row>
    <row r="44" spans="1:45" x14ac:dyDescent="0.2">
      <c r="A44">
        <v>44</v>
      </c>
      <c r="B44" s="5" t="s">
        <v>70</v>
      </c>
      <c r="C44" s="5">
        <v>180413</v>
      </c>
      <c r="E44">
        <v>9.2200000000000004E-2</v>
      </c>
      <c r="F44" t="s">
        <v>40</v>
      </c>
      <c r="J44" t="s">
        <v>71</v>
      </c>
      <c r="K44">
        <v>1000</v>
      </c>
      <c r="AS44" s="5">
        <f t="shared" si="1"/>
        <v>1000</v>
      </c>
    </row>
    <row r="45" spans="1:45" x14ac:dyDescent="0.2">
      <c r="A45">
        <v>45</v>
      </c>
      <c r="B45" s="5" t="s">
        <v>100</v>
      </c>
      <c r="C45" s="5">
        <v>2011090</v>
      </c>
      <c r="E45">
        <v>0.1497</v>
      </c>
      <c r="F45" t="s">
        <v>40</v>
      </c>
      <c r="J45" t="s">
        <v>71</v>
      </c>
      <c r="K45">
        <v>1000</v>
      </c>
      <c r="AS45" s="5">
        <f t="shared" si="1"/>
        <v>1000</v>
      </c>
    </row>
    <row r="46" spans="1:45" x14ac:dyDescent="0.2">
      <c r="A46" s="9">
        <v>51</v>
      </c>
      <c r="B46" s="5" t="s">
        <v>99</v>
      </c>
      <c r="C46" s="9">
        <v>1429</v>
      </c>
      <c r="D46"/>
      <c r="E46" s="9">
        <v>0.15770000000000001</v>
      </c>
      <c r="F46" s="9" t="s">
        <v>27</v>
      </c>
      <c r="G46" t="s">
        <v>28</v>
      </c>
      <c r="H46" t="s">
        <v>30</v>
      </c>
      <c r="I46" t="s">
        <v>31</v>
      </c>
      <c r="K46">
        <v>1000</v>
      </c>
      <c r="L46" s="9">
        <v>30</v>
      </c>
      <c r="M46" s="9">
        <v>15</v>
      </c>
      <c r="N46">
        <v>40</v>
      </c>
      <c r="X46">
        <f t="shared" ref="X46:X51" si="2">60+86</f>
        <v>146</v>
      </c>
      <c r="Y46">
        <v>75</v>
      </c>
      <c r="Z46">
        <v>46</v>
      </c>
      <c r="AC46">
        <v>260</v>
      </c>
      <c r="AG46">
        <v>65</v>
      </c>
      <c r="AS46" s="5">
        <f t="shared" si="1"/>
        <v>323</v>
      </c>
    </row>
    <row r="47" spans="1:45" x14ac:dyDescent="0.2">
      <c r="A47" s="9">
        <v>52</v>
      </c>
      <c r="B47" s="5" t="s">
        <v>99</v>
      </c>
      <c r="C47" s="9">
        <v>1587</v>
      </c>
      <c r="D47"/>
      <c r="E47" s="9">
        <v>0.22040000000000001</v>
      </c>
      <c r="F47" s="9" t="s">
        <v>27</v>
      </c>
      <c r="G47" t="s">
        <v>28</v>
      </c>
      <c r="H47" t="s">
        <v>38</v>
      </c>
      <c r="I47" t="s">
        <v>37</v>
      </c>
      <c r="J47" t="s">
        <v>45</v>
      </c>
      <c r="K47">
        <v>1000</v>
      </c>
      <c r="L47" s="9">
        <v>30</v>
      </c>
      <c r="M47" s="9">
        <v>15</v>
      </c>
      <c r="N47">
        <v>40</v>
      </c>
      <c r="X47">
        <f t="shared" si="2"/>
        <v>146</v>
      </c>
      <c r="Y47">
        <v>75</v>
      </c>
      <c r="Z47">
        <v>46</v>
      </c>
      <c r="AC47">
        <v>260</v>
      </c>
      <c r="AG47">
        <v>65</v>
      </c>
      <c r="AI47">
        <v>35</v>
      </c>
      <c r="AS47" s="5">
        <f t="shared" si="1"/>
        <v>288</v>
      </c>
    </row>
    <row r="48" spans="1:45" x14ac:dyDescent="0.2">
      <c r="A48" s="9">
        <v>53</v>
      </c>
      <c r="B48" s="5" t="s">
        <v>99</v>
      </c>
      <c r="C48" s="9">
        <v>1650</v>
      </c>
      <c r="D48"/>
      <c r="E48" s="9">
        <v>0.22020000000000001</v>
      </c>
      <c r="F48" s="9" t="s">
        <v>27</v>
      </c>
      <c r="G48" t="s">
        <v>36</v>
      </c>
      <c r="H48" t="s">
        <v>34</v>
      </c>
      <c r="I48" t="s">
        <v>31</v>
      </c>
      <c r="K48">
        <v>1000</v>
      </c>
      <c r="L48" s="9">
        <v>30</v>
      </c>
      <c r="M48" s="9">
        <v>15</v>
      </c>
      <c r="N48">
        <v>40</v>
      </c>
      <c r="X48">
        <f t="shared" si="2"/>
        <v>146</v>
      </c>
      <c r="Y48">
        <v>75</v>
      </c>
      <c r="Z48">
        <v>46</v>
      </c>
      <c r="AC48">
        <v>260</v>
      </c>
      <c r="AG48">
        <v>65</v>
      </c>
      <c r="AS48" s="5">
        <f t="shared" si="1"/>
        <v>323</v>
      </c>
    </row>
    <row r="49" spans="1:45" x14ac:dyDescent="0.2">
      <c r="A49" s="9">
        <v>54</v>
      </c>
      <c r="B49" s="5" t="s">
        <v>99</v>
      </c>
      <c r="C49" s="9">
        <v>1524</v>
      </c>
      <c r="D49"/>
      <c r="E49" s="9">
        <v>0.1754</v>
      </c>
      <c r="F49" s="9" t="s">
        <v>27</v>
      </c>
      <c r="G49" t="s">
        <v>36</v>
      </c>
      <c r="H49" t="s">
        <v>38</v>
      </c>
      <c r="I49" t="s">
        <v>37</v>
      </c>
      <c r="K49">
        <v>1000</v>
      </c>
      <c r="L49" s="9">
        <v>30</v>
      </c>
      <c r="M49" s="9">
        <v>15</v>
      </c>
      <c r="N49">
        <v>40</v>
      </c>
      <c r="X49">
        <f t="shared" si="2"/>
        <v>146</v>
      </c>
      <c r="Y49">
        <v>75</v>
      </c>
      <c r="Z49">
        <v>46</v>
      </c>
      <c r="AC49">
        <v>260</v>
      </c>
      <c r="AG49">
        <v>65</v>
      </c>
      <c r="AS49" s="5">
        <f t="shared" si="1"/>
        <v>323</v>
      </c>
    </row>
    <row r="50" spans="1:45" x14ac:dyDescent="0.2">
      <c r="A50" s="9">
        <v>55</v>
      </c>
      <c r="B50" s="5" t="s">
        <v>99</v>
      </c>
      <c r="C50" s="9">
        <v>1665</v>
      </c>
      <c r="D50"/>
      <c r="E50" s="9">
        <v>0.13700000000000001</v>
      </c>
      <c r="F50" s="9" t="s">
        <v>27</v>
      </c>
      <c r="G50" t="s">
        <v>36</v>
      </c>
      <c r="H50" t="s">
        <v>38</v>
      </c>
      <c r="I50" t="s">
        <v>37</v>
      </c>
      <c r="K50">
        <v>1000</v>
      </c>
      <c r="L50" s="9">
        <v>30</v>
      </c>
      <c r="M50" s="9">
        <v>15</v>
      </c>
      <c r="N50">
        <v>40</v>
      </c>
      <c r="X50">
        <f t="shared" si="2"/>
        <v>146</v>
      </c>
      <c r="Y50">
        <v>75</v>
      </c>
      <c r="AG50">
        <v>65</v>
      </c>
      <c r="AK50">
        <v>220</v>
      </c>
      <c r="AS50" s="5">
        <f t="shared" si="1"/>
        <v>409</v>
      </c>
    </row>
    <row r="51" spans="1:45" x14ac:dyDescent="0.2">
      <c r="A51" s="9">
        <v>56</v>
      </c>
      <c r="B51" s="5" t="s">
        <v>99</v>
      </c>
      <c r="C51" s="9">
        <v>1149</v>
      </c>
      <c r="D51"/>
      <c r="E51" s="9">
        <v>0.19539999999999999</v>
      </c>
      <c r="F51" s="9" t="s">
        <v>27</v>
      </c>
      <c r="G51" t="s">
        <v>33</v>
      </c>
      <c r="H51" t="s">
        <v>34</v>
      </c>
      <c r="I51" t="s">
        <v>35</v>
      </c>
      <c r="K51">
        <v>1000</v>
      </c>
      <c r="L51" s="9">
        <v>30</v>
      </c>
      <c r="M51" s="9">
        <v>15</v>
      </c>
      <c r="N51">
        <v>40</v>
      </c>
      <c r="X51">
        <f t="shared" si="2"/>
        <v>146</v>
      </c>
      <c r="Y51">
        <v>75</v>
      </c>
      <c r="AG51">
        <v>65</v>
      </c>
      <c r="AK51">
        <v>220</v>
      </c>
      <c r="AS51" s="5">
        <f t="shared" si="1"/>
        <v>409</v>
      </c>
    </row>
    <row r="52" spans="1:45" x14ac:dyDescent="0.2">
      <c r="A52" s="9">
        <v>57</v>
      </c>
      <c r="B52" s="9" t="s">
        <v>70</v>
      </c>
      <c r="C52" s="9">
        <v>180413</v>
      </c>
      <c r="D52"/>
      <c r="E52" s="9">
        <v>0.193</v>
      </c>
      <c r="F52" s="9" t="s">
        <v>40</v>
      </c>
      <c r="K52">
        <v>1000</v>
      </c>
      <c r="L52" s="9">
        <v>150</v>
      </c>
      <c r="M52" s="9"/>
      <c r="N52">
        <v>75</v>
      </c>
      <c r="X52">
        <v>50</v>
      </c>
      <c r="Y52">
        <v>75</v>
      </c>
      <c r="Z52">
        <v>46</v>
      </c>
      <c r="AC52">
        <v>35</v>
      </c>
      <c r="AD52">
        <v>125</v>
      </c>
      <c r="AI52">
        <v>35</v>
      </c>
      <c r="AM52">
        <v>220</v>
      </c>
      <c r="AS52" s="5">
        <f t="shared" si="1"/>
        <v>189</v>
      </c>
    </row>
    <row r="53" spans="1:45" x14ac:dyDescent="0.2">
      <c r="A53" s="9">
        <v>58</v>
      </c>
      <c r="B53" s="9" t="s">
        <v>99</v>
      </c>
      <c r="C53" s="9">
        <v>1035</v>
      </c>
      <c r="D53"/>
      <c r="E53" s="9">
        <v>0.12720000000000001</v>
      </c>
      <c r="F53" s="9" t="s">
        <v>40</v>
      </c>
      <c r="G53" t="s">
        <v>33</v>
      </c>
      <c r="H53" t="s">
        <v>34</v>
      </c>
      <c r="I53" t="s">
        <v>35</v>
      </c>
      <c r="J53" t="s">
        <v>47</v>
      </c>
      <c r="K53">
        <v>1000</v>
      </c>
      <c r="L53" s="9">
        <v>150</v>
      </c>
      <c r="M53" s="9"/>
      <c r="N53">
        <v>75</v>
      </c>
      <c r="X53">
        <v>50</v>
      </c>
      <c r="Y53">
        <v>75</v>
      </c>
      <c r="Z53">
        <v>46</v>
      </c>
      <c r="AC53">
        <v>35</v>
      </c>
      <c r="AD53">
        <v>125</v>
      </c>
      <c r="AI53">
        <v>35</v>
      </c>
      <c r="AM53">
        <v>220</v>
      </c>
      <c r="AS53" s="5">
        <f t="shared" si="1"/>
        <v>189</v>
      </c>
    </row>
    <row r="54" spans="1:45" x14ac:dyDescent="0.2">
      <c r="A54" s="9">
        <v>59</v>
      </c>
      <c r="B54" s="9" t="s">
        <v>100</v>
      </c>
      <c r="C54" s="9">
        <v>201730</v>
      </c>
      <c r="D54"/>
      <c r="E54" s="9">
        <v>0.16059999999999999</v>
      </c>
      <c r="F54" s="9" t="s">
        <v>40</v>
      </c>
      <c r="K54">
        <v>1000</v>
      </c>
      <c r="L54" s="9">
        <v>150</v>
      </c>
      <c r="M54" s="9"/>
      <c r="N54">
        <v>75</v>
      </c>
      <c r="X54">
        <v>50</v>
      </c>
      <c r="Y54">
        <v>75</v>
      </c>
      <c r="Z54">
        <v>46</v>
      </c>
      <c r="AC54">
        <v>35</v>
      </c>
      <c r="AD54">
        <v>125</v>
      </c>
      <c r="AI54">
        <v>35</v>
      </c>
      <c r="AM54">
        <v>220</v>
      </c>
      <c r="AS54" s="5">
        <f t="shared" si="1"/>
        <v>189</v>
      </c>
    </row>
    <row r="55" spans="1:45" x14ac:dyDescent="0.2">
      <c r="A55" s="9">
        <v>60</v>
      </c>
      <c r="B55" s="9" t="s">
        <v>99</v>
      </c>
      <c r="C55" s="9">
        <v>1585</v>
      </c>
      <c r="D55"/>
      <c r="E55" s="9">
        <v>0.1043</v>
      </c>
      <c r="F55" s="9" t="s">
        <v>27</v>
      </c>
      <c r="G55" t="s">
        <v>44</v>
      </c>
      <c r="H55" t="s">
        <v>34</v>
      </c>
      <c r="I55" t="s">
        <v>31</v>
      </c>
      <c r="J55" t="s">
        <v>45</v>
      </c>
      <c r="K55">
        <v>1000</v>
      </c>
      <c r="L55" s="9">
        <v>30</v>
      </c>
      <c r="M55" s="9">
        <v>15</v>
      </c>
      <c r="N55">
        <v>40</v>
      </c>
      <c r="X55">
        <f>60+86</f>
        <v>146</v>
      </c>
      <c r="Y55">
        <v>75</v>
      </c>
      <c r="AG55">
        <v>65</v>
      </c>
      <c r="AK55">
        <v>220</v>
      </c>
      <c r="AS55" s="5">
        <f t="shared" si="1"/>
        <v>409</v>
      </c>
    </row>
    <row r="56" spans="1:45" x14ac:dyDescent="0.2">
      <c r="A56" s="9">
        <v>61</v>
      </c>
      <c r="B56" s="9" t="s">
        <v>99</v>
      </c>
      <c r="C56" s="9">
        <v>1652</v>
      </c>
      <c r="D56"/>
      <c r="E56" s="9">
        <v>0.14219999999999999</v>
      </c>
      <c r="F56" s="9" t="s">
        <v>27</v>
      </c>
      <c r="G56" t="s">
        <v>36</v>
      </c>
      <c r="H56" t="s">
        <v>34</v>
      </c>
      <c r="I56" t="s">
        <v>31</v>
      </c>
      <c r="K56">
        <v>1000</v>
      </c>
      <c r="L56" s="9">
        <v>30</v>
      </c>
      <c r="M56" s="9">
        <v>15</v>
      </c>
      <c r="N56">
        <v>40</v>
      </c>
      <c r="X56">
        <f>60+86</f>
        <v>146</v>
      </c>
      <c r="Y56">
        <v>75</v>
      </c>
      <c r="AG56">
        <v>65</v>
      </c>
      <c r="AK56">
        <v>220</v>
      </c>
      <c r="AS56" s="5">
        <f t="shared" si="1"/>
        <v>409</v>
      </c>
    </row>
    <row r="57" spans="1:45" x14ac:dyDescent="0.2">
      <c r="A57" s="9">
        <v>62</v>
      </c>
      <c r="B57" s="9" t="s">
        <v>99</v>
      </c>
      <c r="C57" s="9">
        <v>1278</v>
      </c>
      <c r="D57"/>
      <c r="E57" s="9">
        <v>0.14019999999999999</v>
      </c>
      <c r="F57" s="9" t="s">
        <v>27</v>
      </c>
      <c r="G57" t="s">
        <v>33</v>
      </c>
      <c r="H57" t="s">
        <v>34</v>
      </c>
      <c r="I57" t="s">
        <v>37</v>
      </c>
      <c r="K57">
        <v>1000</v>
      </c>
      <c r="L57" s="9">
        <v>30</v>
      </c>
      <c r="M57" s="9">
        <v>15</v>
      </c>
      <c r="N57">
        <v>40</v>
      </c>
      <c r="X57">
        <f>60+86</f>
        <v>146</v>
      </c>
      <c r="Y57">
        <v>75</v>
      </c>
      <c r="AG57">
        <v>65</v>
      </c>
      <c r="AK57">
        <v>220</v>
      </c>
      <c r="AS57" s="5">
        <f t="shared" si="1"/>
        <v>409</v>
      </c>
    </row>
    <row r="58" spans="1:45" x14ac:dyDescent="0.2">
      <c r="A58" s="9">
        <v>63</v>
      </c>
      <c r="B58" s="9" t="s">
        <v>100</v>
      </c>
      <c r="C58" s="9">
        <v>2011090</v>
      </c>
      <c r="D58"/>
      <c r="E58" s="9">
        <v>0.20269999999999999</v>
      </c>
      <c r="F58" s="9" t="s">
        <v>40</v>
      </c>
      <c r="K58">
        <v>1000</v>
      </c>
      <c r="L58" s="9">
        <v>150</v>
      </c>
      <c r="M58" s="9"/>
      <c r="N58">
        <v>75</v>
      </c>
      <c r="Z58">
        <v>46</v>
      </c>
      <c r="AC58">
        <v>35</v>
      </c>
      <c r="AD58">
        <v>125</v>
      </c>
      <c r="AI58">
        <v>35</v>
      </c>
      <c r="AJ58">
        <v>125</v>
      </c>
      <c r="AM58">
        <v>220</v>
      </c>
      <c r="AS58" s="5">
        <f t="shared" si="1"/>
        <v>189</v>
      </c>
    </row>
    <row r="59" spans="1:45" x14ac:dyDescent="0.2">
      <c r="A59" s="9">
        <v>64</v>
      </c>
      <c r="B59" s="9" t="s">
        <v>99</v>
      </c>
      <c r="C59" s="9">
        <v>1593</v>
      </c>
      <c r="D59"/>
      <c r="E59" s="9">
        <v>0.26469999999999999</v>
      </c>
      <c r="F59" s="9" t="s">
        <v>27</v>
      </c>
      <c r="G59" t="s">
        <v>39</v>
      </c>
      <c r="H59" t="s">
        <v>30</v>
      </c>
      <c r="I59" t="s">
        <v>37</v>
      </c>
      <c r="K59">
        <v>1000</v>
      </c>
      <c r="L59" s="9">
        <v>30</v>
      </c>
      <c r="M59" s="9">
        <v>15</v>
      </c>
      <c r="N59">
        <v>40</v>
      </c>
      <c r="X59">
        <v>146</v>
      </c>
      <c r="Y59">
        <v>75</v>
      </c>
      <c r="AF59">
        <v>60</v>
      </c>
      <c r="AG59">
        <v>65</v>
      </c>
      <c r="AK59">
        <v>220</v>
      </c>
      <c r="AS59" s="5">
        <f t="shared" si="1"/>
        <v>349</v>
      </c>
    </row>
    <row r="60" spans="1:45" x14ac:dyDescent="0.2">
      <c r="A60" s="9">
        <v>65</v>
      </c>
      <c r="B60" s="9" t="s">
        <v>99</v>
      </c>
      <c r="C60" s="10">
        <v>1723</v>
      </c>
      <c r="D60" s="10" t="s">
        <v>90</v>
      </c>
      <c r="E60" s="10">
        <v>0.19170000000000001</v>
      </c>
      <c r="F60" t="s">
        <v>27</v>
      </c>
      <c r="H60" t="s">
        <v>104</v>
      </c>
      <c r="K60">
        <v>1000</v>
      </c>
      <c r="Z60">
        <v>46</v>
      </c>
      <c r="AC60">
        <v>260</v>
      </c>
      <c r="AE60">
        <v>70</v>
      </c>
      <c r="AF60">
        <v>60</v>
      </c>
      <c r="AG60">
        <v>65</v>
      </c>
      <c r="AS60" s="5">
        <f t="shared" si="1"/>
        <v>499</v>
      </c>
    </row>
    <row r="61" spans="1:45" x14ac:dyDescent="0.2">
      <c r="A61" s="9">
        <v>66</v>
      </c>
      <c r="B61" s="9" t="s">
        <v>99</v>
      </c>
      <c r="C61" s="10">
        <v>1723</v>
      </c>
      <c r="D61" s="1" t="s">
        <v>81</v>
      </c>
      <c r="E61" s="9">
        <v>0.16089999999999999</v>
      </c>
      <c r="F61" t="s">
        <v>27</v>
      </c>
      <c r="H61" t="s">
        <v>104</v>
      </c>
      <c r="K61">
        <v>1000</v>
      </c>
      <c r="Z61">
        <v>46</v>
      </c>
      <c r="AC61">
        <v>260</v>
      </c>
      <c r="AE61">
        <v>70</v>
      </c>
      <c r="AG61">
        <v>65</v>
      </c>
      <c r="AS61" s="5">
        <f t="shared" si="1"/>
        <v>559</v>
      </c>
    </row>
    <row r="62" spans="1:45" x14ac:dyDescent="0.2">
      <c r="A62" s="9">
        <v>67</v>
      </c>
      <c r="B62" s="9" t="s">
        <v>99</v>
      </c>
      <c r="C62" s="9">
        <v>1724</v>
      </c>
      <c r="D62" s="1" t="s">
        <v>82</v>
      </c>
      <c r="E62" s="9">
        <v>0.2099</v>
      </c>
      <c r="F62" s="9" t="s">
        <v>27</v>
      </c>
      <c r="K62">
        <v>1000</v>
      </c>
      <c r="Y62">
        <v>75</v>
      </c>
      <c r="Z62">
        <v>46</v>
      </c>
      <c r="AC62">
        <v>260</v>
      </c>
      <c r="AE62">
        <v>70</v>
      </c>
      <c r="AG62">
        <v>65</v>
      </c>
      <c r="AK62">
        <v>220</v>
      </c>
      <c r="AS62" s="5">
        <f t="shared" si="1"/>
        <v>264</v>
      </c>
    </row>
    <row r="63" spans="1:45" x14ac:dyDescent="0.2">
      <c r="A63" s="9">
        <v>68</v>
      </c>
      <c r="B63" s="9" t="s">
        <v>99</v>
      </c>
      <c r="C63" s="9">
        <v>1724</v>
      </c>
      <c r="D63" s="1" t="s">
        <v>83</v>
      </c>
      <c r="E63" s="9">
        <v>0.1623</v>
      </c>
      <c r="F63" s="9" t="s">
        <v>27</v>
      </c>
      <c r="K63">
        <v>1000</v>
      </c>
      <c r="Y63">
        <v>75</v>
      </c>
      <c r="Z63">
        <v>46</v>
      </c>
      <c r="AC63">
        <v>260</v>
      </c>
      <c r="AE63">
        <v>70</v>
      </c>
      <c r="AG63">
        <v>65</v>
      </c>
      <c r="AS63" s="5">
        <f t="shared" si="1"/>
        <v>484</v>
      </c>
    </row>
    <row r="64" spans="1:45" x14ac:dyDescent="0.2">
      <c r="A64" s="9">
        <v>69</v>
      </c>
      <c r="B64" s="9" t="s">
        <v>99</v>
      </c>
      <c r="C64" s="9">
        <v>1724</v>
      </c>
      <c r="D64" s="1" t="s">
        <v>84</v>
      </c>
      <c r="E64" s="9">
        <v>0.18959999999999999</v>
      </c>
      <c r="F64" s="9" t="s">
        <v>27</v>
      </c>
      <c r="K64">
        <v>1000</v>
      </c>
      <c r="Y64">
        <v>75</v>
      </c>
      <c r="Z64">
        <v>46</v>
      </c>
      <c r="AC64">
        <v>260</v>
      </c>
      <c r="AE64">
        <v>70</v>
      </c>
      <c r="AG64">
        <v>65</v>
      </c>
      <c r="AK64">
        <v>220</v>
      </c>
      <c r="AS64" s="5">
        <f t="shared" si="1"/>
        <v>264</v>
      </c>
    </row>
    <row r="65" spans="1:45" x14ac:dyDescent="0.2">
      <c r="A65" s="9">
        <v>70</v>
      </c>
      <c r="B65" s="9" t="s">
        <v>99</v>
      </c>
      <c r="C65" s="9">
        <v>1714</v>
      </c>
      <c r="D65" s="1" t="s">
        <v>82</v>
      </c>
      <c r="E65" s="9">
        <v>0.2127</v>
      </c>
      <c r="F65" t="s">
        <v>27</v>
      </c>
      <c r="H65" t="s">
        <v>104</v>
      </c>
      <c r="K65">
        <v>1000</v>
      </c>
      <c r="Z65">
        <v>46</v>
      </c>
      <c r="AC65">
        <v>260</v>
      </c>
      <c r="AE65">
        <v>70</v>
      </c>
      <c r="AG65">
        <v>65</v>
      </c>
      <c r="AS65" s="5">
        <f t="shared" si="1"/>
        <v>559</v>
      </c>
    </row>
    <row r="66" spans="1:45" x14ac:dyDescent="0.2">
      <c r="A66" s="9">
        <v>71</v>
      </c>
      <c r="B66" s="9" t="s">
        <v>99</v>
      </c>
      <c r="C66" s="9">
        <v>1714</v>
      </c>
      <c r="D66" s="1" t="s">
        <v>83</v>
      </c>
      <c r="E66" s="9">
        <v>0.15870000000000001</v>
      </c>
      <c r="F66" t="s">
        <v>27</v>
      </c>
      <c r="H66" t="s">
        <v>104</v>
      </c>
      <c r="K66">
        <v>1000</v>
      </c>
      <c r="Z66">
        <v>46</v>
      </c>
      <c r="AC66">
        <v>260</v>
      </c>
      <c r="AE66">
        <v>70</v>
      </c>
      <c r="AG66">
        <v>65</v>
      </c>
      <c r="AK66">
        <v>220</v>
      </c>
      <c r="AS66" s="5">
        <f t="shared" ref="AS66:AS89" si="3">K66-(SUM(L66:AQ66))</f>
        <v>339</v>
      </c>
    </row>
    <row r="67" spans="1:45" x14ac:dyDescent="0.2">
      <c r="A67" s="9">
        <v>72</v>
      </c>
      <c r="B67" s="9" t="s">
        <v>99</v>
      </c>
      <c r="C67" s="9">
        <v>1714</v>
      </c>
      <c r="D67" s="1" t="s">
        <v>85</v>
      </c>
      <c r="E67" s="9">
        <v>0.19539999999999999</v>
      </c>
      <c r="F67" t="s">
        <v>27</v>
      </c>
      <c r="H67" t="s">
        <v>104</v>
      </c>
      <c r="K67">
        <v>1000</v>
      </c>
      <c r="Z67">
        <v>46</v>
      </c>
      <c r="AC67">
        <v>35</v>
      </c>
      <c r="AE67">
        <v>70</v>
      </c>
      <c r="AG67">
        <v>65</v>
      </c>
      <c r="AK67">
        <v>220</v>
      </c>
      <c r="AS67" s="5">
        <f t="shared" si="3"/>
        <v>564</v>
      </c>
    </row>
    <row r="68" spans="1:45" x14ac:dyDescent="0.2">
      <c r="A68" s="9">
        <v>73</v>
      </c>
      <c r="B68" s="9" t="s">
        <v>70</v>
      </c>
      <c r="C68" s="9">
        <v>190402</v>
      </c>
      <c r="D68" s="1" t="s">
        <v>86</v>
      </c>
      <c r="E68" s="9">
        <v>0.19120000000000001</v>
      </c>
      <c r="F68" t="s">
        <v>27</v>
      </c>
      <c r="K68">
        <v>1000</v>
      </c>
      <c r="Y68">
        <v>75</v>
      </c>
      <c r="Z68">
        <v>46</v>
      </c>
      <c r="AC68">
        <v>35</v>
      </c>
      <c r="AE68">
        <v>70</v>
      </c>
      <c r="AG68">
        <v>65</v>
      </c>
      <c r="AK68">
        <v>220</v>
      </c>
      <c r="AS68" s="5">
        <f t="shared" si="3"/>
        <v>489</v>
      </c>
    </row>
    <row r="69" spans="1:45" x14ac:dyDescent="0.2">
      <c r="A69" s="9">
        <v>74</v>
      </c>
      <c r="B69" s="9" t="s">
        <v>70</v>
      </c>
      <c r="C69" s="9">
        <v>190402</v>
      </c>
      <c r="D69" s="1" t="s">
        <v>87</v>
      </c>
      <c r="E69" s="9">
        <v>0.1938</v>
      </c>
      <c r="F69" t="s">
        <v>27</v>
      </c>
      <c r="K69">
        <v>1000</v>
      </c>
      <c r="Y69">
        <v>75</v>
      </c>
      <c r="Z69">
        <v>46</v>
      </c>
      <c r="AC69">
        <v>35</v>
      </c>
      <c r="AE69">
        <v>70</v>
      </c>
      <c r="AG69">
        <v>65</v>
      </c>
      <c r="AK69">
        <v>220</v>
      </c>
      <c r="AS69" s="5">
        <f t="shared" si="3"/>
        <v>489</v>
      </c>
    </row>
    <row r="70" spans="1:45" x14ac:dyDescent="0.2">
      <c r="A70" s="9">
        <v>75</v>
      </c>
      <c r="B70" s="9" t="s">
        <v>70</v>
      </c>
      <c r="C70" s="9">
        <v>190402</v>
      </c>
      <c r="D70" s="1" t="s">
        <v>88</v>
      </c>
      <c r="E70" s="9">
        <v>0.2135</v>
      </c>
      <c r="F70" t="s">
        <v>27</v>
      </c>
      <c r="K70">
        <v>1000</v>
      </c>
      <c r="Y70">
        <v>75</v>
      </c>
      <c r="Z70">
        <v>46</v>
      </c>
      <c r="AC70">
        <v>35</v>
      </c>
      <c r="AE70">
        <v>70</v>
      </c>
      <c r="AG70">
        <v>65</v>
      </c>
      <c r="AI70">
        <v>35</v>
      </c>
      <c r="AK70">
        <v>220</v>
      </c>
      <c r="AS70" s="5">
        <f t="shared" si="3"/>
        <v>454</v>
      </c>
    </row>
    <row r="71" spans="1:45" x14ac:dyDescent="0.2">
      <c r="A71" s="9">
        <v>76</v>
      </c>
      <c r="B71" s="9" t="s">
        <v>70</v>
      </c>
      <c r="C71" s="9">
        <v>2019047</v>
      </c>
      <c r="D71" s="1" t="s">
        <v>86</v>
      </c>
      <c r="E71" s="9">
        <v>0.21490000000000001</v>
      </c>
      <c r="F71" t="s">
        <v>40</v>
      </c>
      <c r="K71">
        <v>1000</v>
      </c>
      <c r="Z71">
        <v>46</v>
      </c>
      <c r="AC71">
        <v>485</v>
      </c>
      <c r="AD71">
        <v>125</v>
      </c>
      <c r="AE71">
        <v>70</v>
      </c>
      <c r="AI71">
        <v>35</v>
      </c>
      <c r="AS71" s="5">
        <f t="shared" si="3"/>
        <v>239</v>
      </c>
    </row>
    <row r="72" spans="1:45" x14ac:dyDescent="0.2">
      <c r="A72" s="9">
        <v>77</v>
      </c>
      <c r="B72" s="9" t="s">
        <v>70</v>
      </c>
      <c r="C72" s="9">
        <v>2019047</v>
      </c>
      <c r="D72" s="1" t="s">
        <v>81</v>
      </c>
      <c r="E72" s="9">
        <v>0.19439999999999999</v>
      </c>
      <c r="F72" t="s">
        <v>40</v>
      </c>
      <c r="K72">
        <v>1000</v>
      </c>
      <c r="Z72">
        <v>46</v>
      </c>
      <c r="AC72">
        <v>485</v>
      </c>
      <c r="AE72">
        <v>70</v>
      </c>
      <c r="AH72">
        <v>120</v>
      </c>
      <c r="AI72">
        <v>35</v>
      </c>
      <c r="AS72" s="5">
        <f t="shared" si="3"/>
        <v>244</v>
      </c>
    </row>
    <row r="73" spans="1:45" x14ac:dyDescent="0.2">
      <c r="A73" s="9">
        <v>78</v>
      </c>
      <c r="B73" s="9" t="s">
        <v>70</v>
      </c>
      <c r="C73" s="9">
        <v>2019047</v>
      </c>
      <c r="D73" s="1" t="s">
        <v>89</v>
      </c>
      <c r="E73" s="9">
        <v>0.23519999999999999</v>
      </c>
      <c r="F73" t="s">
        <v>40</v>
      </c>
      <c r="K73">
        <v>1000</v>
      </c>
      <c r="Z73">
        <v>46</v>
      </c>
      <c r="AC73">
        <v>485</v>
      </c>
      <c r="AE73">
        <v>70</v>
      </c>
      <c r="AI73">
        <v>35</v>
      </c>
      <c r="AS73" s="5">
        <f t="shared" si="3"/>
        <v>364</v>
      </c>
    </row>
    <row r="74" spans="1:45" x14ac:dyDescent="0.2">
      <c r="A74" s="9">
        <v>79</v>
      </c>
      <c r="B74" s="9" t="s">
        <v>99</v>
      </c>
      <c r="C74" s="9">
        <v>1732</v>
      </c>
      <c r="D74" s="1" t="s">
        <v>90</v>
      </c>
      <c r="E74" s="9">
        <v>0.1459</v>
      </c>
      <c r="F74" t="s">
        <v>40</v>
      </c>
      <c r="K74">
        <v>1000</v>
      </c>
      <c r="Z74">
        <v>46</v>
      </c>
      <c r="AC74">
        <v>485</v>
      </c>
      <c r="AD74">
        <v>125</v>
      </c>
      <c r="AE74">
        <v>70</v>
      </c>
      <c r="AP74">
        <v>120</v>
      </c>
      <c r="AS74" s="5">
        <f t="shared" si="3"/>
        <v>154</v>
      </c>
    </row>
    <row r="75" spans="1:45" x14ac:dyDescent="0.2">
      <c r="A75" s="9">
        <v>80</v>
      </c>
      <c r="B75" s="9" t="s">
        <v>99</v>
      </c>
      <c r="C75" s="9">
        <v>1732</v>
      </c>
      <c r="D75" s="1" t="s">
        <v>91</v>
      </c>
      <c r="E75" s="9">
        <v>0.125</v>
      </c>
      <c r="F75" t="s">
        <v>40</v>
      </c>
      <c r="K75">
        <v>1000</v>
      </c>
      <c r="Z75">
        <v>46</v>
      </c>
      <c r="AC75">
        <v>485</v>
      </c>
      <c r="AE75">
        <v>70</v>
      </c>
      <c r="AI75">
        <v>35</v>
      </c>
      <c r="AS75" s="5">
        <f t="shared" si="3"/>
        <v>364</v>
      </c>
    </row>
    <row r="76" spans="1:45" x14ac:dyDescent="0.2">
      <c r="A76" s="9">
        <v>81</v>
      </c>
      <c r="B76" s="9" t="s">
        <v>99</v>
      </c>
      <c r="C76" s="9">
        <v>1732</v>
      </c>
      <c r="D76" s="1" t="s">
        <v>85</v>
      </c>
      <c r="E76" s="9">
        <v>0.17599999999999999</v>
      </c>
      <c r="F76" t="s">
        <v>40</v>
      </c>
      <c r="K76">
        <v>1000</v>
      </c>
      <c r="Z76">
        <v>46</v>
      </c>
      <c r="AC76">
        <v>485</v>
      </c>
      <c r="AE76">
        <v>70</v>
      </c>
      <c r="AI76">
        <v>35</v>
      </c>
      <c r="AS76" s="5">
        <f t="shared" si="3"/>
        <v>364</v>
      </c>
    </row>
    <row r="77" spans="1:45" x14ac:dyDescent="0.2">
      <c r="A77" s="9">
        <v>82</v>
      </c>
      <c r="B77" s="9" t="s">
        <v>99</v>
      </c>
      <c r="C77" s="9">
        <v>1720</v>
      </c>
      <c r="D77" s="1" t="s">
        <v>90</v>
      </c>
      <c r="E77" s="9">
        <v>0.1668</v>
      </c>
      <c r="F77" t="s">
        <v>40</v>
      </c>
      <c r="H77" t="s">
        <v>104</v>
      </c>
      <c r="K77">
        <v>1000</v>
      </c>
      <c r="Z77">
        <v>46</v>
      </c>
      <c r="AC77">
        <v>485</v>
      </c>
      <c r="AD77">
        <v>125</v>
      </c>
      <c r="AE77">
        <v>70</v>
      </c>
      <c r="AI77">
        <v>35</v>
      </c>
      <c r="AP77">
        <v>120</v>
      </c>
      <c r="AS77" s="5">
        <f t="shared" si="3"/>
        <v>119</v>
      </c>
    </row>
    <row r="78" spans="1:45" x14ac:dyDescent="0.2">
      <c r="A78" s="9">
        <v>83</v>
      </c>
      <c r="B78" s="9" t="s">
        <v>99</v>
      </c>
      <c r="C78" s="9">
        <v>1720</v>
      </c>
      <c r="D78" s="1" t="s">
        <v>85</v>
      </c>
      <c r="E78" s="9">
        <v>0.17230000000000001</v>
      </c>
      <c r="F78" t="s">
        <v>40</v>
      </c>
      <c r="H78" t="s">
        <v>104</v>
      </c>
      <c r="K78">
        <v>1000</v>
      </c>
      <c r="Z78">
        <v>46</v>
      </c>
      <c r="AC78">
        <v>485</v>
      </c>
      <c r="AE78">
        <v>70</v>
      </c>
      <c r="AP78">
        <v>120</v>
      </c>
      <c r="AS78" s="5">
        <f t="shared" si="3"/>
        <v>279</v>
      </c>
    </row>
    <row r="79" spans="1:45" x14ac:dyDescent="0.2">
      <c r="A79" s="9">
        <v>84</v>
      </c>
      <c r="B79" s="9" t="s">
        <v>99</v>
      </c>
      <c r="C79" s="9">
        <v>1712</v>
      </c>
      <c r="D79" s="1" t="s">
        <v>92</v>
      </c>
      <c r="E79" s="9">
        <v>0.1653</v>
      </c>
      <c r="F79" t="s">
        <v>40</v>
      </c>
      <c r="H79" t="s">
        <v>34</v>
      </c>
      <c r="I79" t="s">
        <v>103</v>
      </c>
      <c r="K79">
        <v>1000</v>
      </c>
      <c r="Z79">
        <v>46</v>
      </c>
      <c r="AC79">
        <v>485</v>
      </c>
      <c r="AD79">
        <v>125</v>
      </c>
      <c r="AE79">
        <v>70</v>
      </c>
      <c r="AH79">
        <v>120</v>
      </c>
      <c r="AI79">
        <v>35</v>
      </c>
      <c r="AJ79">
        <v>119</v>
      </c>
      <c r="AS79" s="5">
        <f t="shared" si="3"/>
        <v>0</v>
      </c>
    </row>
    <row r="80" spans="1:45" x14ac:dyDescent="0.2">
      <c r="A80" s="9">
        <v>85</v>
      </c>
      <c r="B80" s="9" t="s">
        <v>99</v>
      </c>
      <c r="C80" s="9">
        <v>1712</v>
      </c>
      <c r="D80" s="1" t="s">
        <v>83</v>
      </c>
      <c r="E80" s="9">
        <v>0.1333</v>
      </c>
      <c r="F80" t="s">
        <v>40</v>
      </c>
      <c r="H80" t="s">
        <v>34</v>
      </c>
      <c r="I80" t="s">
        <v>103</v>
      </c>
      <c r="K80">
        <v>1000</v>
      </c>
      <c r="Z80">
        <v>46</v>
      </c>
      <c r="AC80">
        <v>485</v>
      </c>
      <c r="AE80">
        <v>70</v>
      </c>
      <c r="AI80">
        <v>35</v>
      </c>
      <c r="AS80" s="5">
        <f t="shared" si="3"/>
        <v>364</v>
      </c>
    </row>
    <row r="81" spans="1:45" x14ac:dyDescent="0.2">
      <c r="A81" s="9">
        <v>86</v>
      </c>
      <c r="B81" s="9" t="s">
        <v>99</v>
      </c>
      <c r="C81" s="9">
        <v>1712</v>
      </c>
      <c r="D81" s="1" t="s">
        <v>84</v>
      </c>
      <c r="E81" s="9">
        <v>0.109</v>
      </c>
      <c r="F81" t="s">
        <v>40</v>
      </c>
      <c r="H81" t="s">
        <v>34</v>
      </c>
      <c r="I81" t="s">
        <v>103</v>
      </c>
      <c r="K81">
        <v>1000</v>
      </c>
      <c r="Z81">
        <v>46</v>
      </c>
      <c r="AC81">
        <v>485</v>
      </c>
      <c r="AE81">
        <v>70</v>
      </c>
      <c r="AH81">
        <v>120</v>
      </c>
      <c r="AI81">
        <v>35</v>
      </c>
      <c r="AJ81">
        <v>125</v>
      </c>
      <c r="AS81" s="5">
        <f t="shared" si="3"/>
        <v>119</v>
      </c>
    </row>
    <row r="82" spans="1:45" x14ac:dyDescent="0.2">
      <c r="A82" s="9">
        <v>87</v>
      </c>
      <c r="B82" s="9" t="s">
        <v>70</v>
      </c>
      <c r="C82" s="9">
        <v>190430</v>
      </c>
      <c r="D82" s="1" t="s">
        <v>90</v>
      </c>
      <c r="E82" s="9">
        <v>0.104</v>
      </c>
      <c r="F82" t="s">
        <v>27</v>
      </c>
      <c r="K82">
        <v>1000</v>
      </c>
      <c r="AB82" s="5">
        <v>75</v>
      </c>
      <c r="AE82">
        <v>70</v>
      </c>
      <c r="AG82">
        <v>65</v>
      </c>
      <c r="AH82">
        <v>120</v>
      </c>
      <c r="AK82">
        <v>220</v>
      </c>
      <c r="AS82" s="5">
        <f t="shared" si="3"/>
        <v>450</v>
      </c>
    </row>
    <row r="83" spans="1:45" x14ac:dyDescent="0.2">
      <c r="A83" s="9">
        <v>88</v>
      </c>
      <c r="B83" s="9" t="s">
        <v>70</v>
      </c>
      <c r="C83" s="9">
        <v>190430</v>
      </c>
      <c r="D83" s="1" t="s">
        <v>91</v>
      </c>
      <c r="E83" s="9">
        <v>0.153</v>
      </c>
      <c r="F83" t="s">
        <v>27</v>
      </c>
      <c r="K83">
        <v>1000</v>
      </c>
      <c r="AB83" s="5">
        <v>75</v>
      </c>
      <c r="AE83">
        <v>70</v>
      </c>
      <c r="AG83">
        <v>65</v>
      </c>
      <c r="AK83">
        <v>220</v>
      </c>
      <c r="AS83" s="5">
        <f t="shared" si="3"/>
        <v>570</v>
      </c>
    </row>
    <row r="84" spans="1:45" x14ac:dyDescent="0.2">
      <c r="A84" s="9">
        <v>89</v>
      </c>
      <c r="B84" s="9" t="s">
        <v>70</v>
      </c>
      <c r="C84" s="9">
        <v>190430</v>
      </c>
      <c r="D84" s="1" t="s">
        <v>85</v>
      </c>
      <c r="E84" s="9">
        <v>0.21249999999999999</v>
      </c>
      <c r="F84" t="s">
        <v>27</v>
      </c>
      <c r="K84">
        <v>1000</v>
      </c>
      <c r="AB84" s="5">
        <v>75</v>
      </c>
      <c r="AE84">
        <v>70</v>
      </c>
      <c r="AG84">
        <v>65</v>
      </c>
      <c r="AI84">
        <v>35</v>
      </c>
      <c r="AK84">
        <v>220</v>
      </c>
      <c r="AS84" s="5">
        <f t="shared" si="3"/>
        <v>535</v>
      </c>
    </row>
    <row r="85" spans="1:45" x14ac:dyDescent="0.2">
      <c r="A85" s="9">
        <v>90</v>
      </c>
      <c r="B85" s="9" t="s">
        <v>99</v>
      </c>
      <c r="C85" s="9">
        <v>1740</v>
      </c>
      <c r="D85" s="1" t="s">
        <v>90</v>
      </c>
      <c r="E85" s="9">
        <v>0.16919999999999999</v>
      </c>
      <c r="F85" t="s">
        <v>40</v>
      </c>
      <c r="K85">
        <v>1000</v>
      </c>
      <c r="AB85" s="5"/>
      <c r="AD85">
        <v>125</v>
      </c>
      <c r="AE85">
        <v>70</v>
      </c>
      <c r="AI85">
        <v>35</v>
      </c>
      <c r="AM85">
        <v>220</v>
      </c>
      <c r="AS85" s="5">
        <f t="shared" si="3"/>
        <v>550</v>
      </c>
    </row>
    <row r="86" spans="1:45" x14ac:dyDescent="0.2">
      <c r="A86" s="9">
        <v>91</v>
      </c>
      <c r="B86" s="9" t="s">
        <v>99</v>
      </c>
      <c r="C86" s="9">
        <v>1740</v>
      </c>
      <c r="D86" s="1" t="s">
        <v>85</v>
      </c>
      <c r="E86" s="9">
        <v>0.12959999999999999</v>
      </c>
      <c r="F86" t="s">
        <v>40</v>
      </c>
      <c r="K86">
        <v>1000</v>
      </c>
      <c r="AB86" s="5"/>
      <c r="AE86">
        <v>70</v>
      </c>
      <c r="AM86">
        <v>220</v>
      </c>
      <c r="AP86">
        <v>120</v>
      </c>
      <c r="AS86" s="5">
        <f t="shared" si="3"/>
        <v>590</v>
      </c>
    </row>
    <row r="87" spans="1:45" x14ac:dyDescent="0.2">
      <c r="A87" s="9">
        <v>92</v>
      </c>
      <c r="B87" s="9" t="s">
        <v>100</v>
      </c>
      <c r="C87" s="9">
        <v>2019017</v>
      </c>
      <c r="D87" s="1" t="s">
        <v>90</v>
      </c>
      <c r="E87" s="9">
        <v>0.17749999999999999</v>
      </c>
      <c r="F87" t="s">
        <v>27</v>
      </c>
      <c r="K87">
        <v>1000</v>
      </c>
      <c r="AB87" s="5"/>
      <c r="AE87">
        <v>70</v>
      </c>
      <c r="AG87">
        <v>65</v>
      </c>
      <c r="AK87">
        <v>220</v>
      </c>
      <c r="AS87" s="5">
        <f t="shared" si="3"/>
        <v>645</v>
      </c>
    </row>
    <row r="88" spans="1:45" x14ac:dyDescent="0.2">
      <c r="A88" s="9">
        <v>93</v>
      </c>
      <c r="B88" s="9" t="s">
        <v>100</v>
      </c>
      <c r="C88" s="9">
        <v>2019017</v>
      </c>
      <c r="D88" s="1" t="s">
        <v>91</v>
      </c>
      <c r="E88" s="9">
        <v>0.16189999999999999</v>
      </c>
      <c r="F88" t="s">
        <v>27</v>
      </c>
      <c r="K88">
        <v>1000</v>
      </c>
      <c r="AB88" s="5"/>
      <c r="AE88">
        <v>70</v>
      </c>
      <c r="AG88">
        <v>65</v>
      </c>
      <c r="AK88">
        <v>220</v>
      </c>
      <c r="AS88" s="5">
        <f t="shared" si="3"/>
        <v>645</v>
      </c>
    </row>
    <row r="89" spans="1:45" x14ac:dyDescent="0.2">
      <c r="A89" s="9">
        <v>94</v>
      </c>
      <c r="B89" s="9" t="s">
        <v>100</v>
      </c>
      <c r="C89" s="9">
        <v>2019017</v>
      </c>
      <c r="D89" s="1" t="s">
        <v>85</v>
      </c>
      <c r="E89" s="9">
        <v>0.2296</v>
      </c>
      <c r="F89" t="s">
        <v>27</v>
      </c>
      <c r="K89">
        <v>1000</v>
      </c>
      <c r="AB89" s="5"/>
      <c r="AE89">
        <v>70</v>
      </c>
      <c r="AF89">
        <v>60</v>
      </c>
      <c r="AG89">
        <v>65</v>
      </c>
      <c r="AK89">
        <v>220</v>
      </c>
      <c r="AS89" s="5">
        <f t="shared" si="3"/>
        <v>585</v>
      </c>
    </row>
    <row r="90" spans="1:45" x14ac:dyDescent="0.2">
      <c r="A90" s="9">
        <v>95</v>
      </c>
      <c r="B90" s="22" t="s">
        <v>70</v>
      </c>
      <c r="C90" s="9">
        <v>190417</v>
      </c>
      <c r="D90" s="1" t="s">
        <v>90</v>
      </c>
      <c r="E90" s="9">
        <v>0.19769999999999999</v>
      </c>
      <c r="F90" t="s">
        <v>27</v>
      </c>
      <c r="K90">
        <v>1000</v>
      </c>
      <c r="AB90" s="5">
        <v>75</v>
      </c>
      <c r="AE90">
        <v>70</v>
      </c>
      <c r="AI90">
        <v>70</v>
      </c>
      <c r="AK90">
        <v>220</v>
      </c>
      <c r="AQ90">
        <f>150+120</f>
        <v>270</v>
      </c>
      <c r="AR90">
        <v>25</v>
      </c>
      <c r="AS90" s="5">
        <f>K90-(SUM(L90:AR90))</f>
        <v>270</v>
      </c>
    </row>
    <row r="91" spans="1:45" x14ac:dyDescent="0.2">
      <c r="A91" s="9">
        <v>96</v>
      </c>
      <c r="B91" s="22" t="s">
        <v>70</v>
      </c>
      <c r="C91" s="9">
        <v>190417</v>
      </c>
      <c r="D91" s="1" t="s">
        <v>91</v>
      </c>
      <c r="E91" s="9">
        <v>9.5699999999999993E-2</v>
      </c>
      <c r="F91" t="s">
        <v>27</v>
      </c>
      <c r="K91">
        <v>1000</v>
      </c>
      <c r="AB91" s="5">
        <v>75</v>
      </c>
      <c r="AE91">
        <v>70</v>
      </c>
      <c r="AK91">
        <v>220</v>
      </c>
      <c r="AM91">
        <v>220</v>
      </c>
      <c r="AP91">
        <v>120</v>
      </c>
      <c r="AQ91">
        <v>120</v>
      </c>
      <c r="AS91" s="5">
        <f t="shared" ref="AS91:AS118" si="4">K91-(SUM(L91:AQ91))</f>
        <v>175</v>
      </c>
    </row>
    <row r="92" spans="1:45" x14ac:dyDescent="0.2">
      <c r="A92" s="9">
        <v>97</v>
      </c>
      <c r="B92" s="22" t="s">
        <v>70</v>
      </c>
      <c r="C92" s="9">
        <v>190417</v>
      </c>
      <c r="D92" s="1" t="s">
        <v>85</v>
      </c>
      <c r="E92" s="9">
        <v>0.10249999999999999</v>
      </c>
      <c r="F92" t="s">
        <v>27</v>
      </c>
      <c r="K92">
        <v>1000</v>
      </c>
      <c r="AB92" s="5">
        <v>75</v>
      </c>
      <c r="AE92">
        <v>70</v>
      </c>
      <c r="AK92">
        <v>220</v>
      </c>
      <c r="AM92">
        <v>220</v>
      </c>
      <c r="AP92">
        <v>120</v>
      </c>
      <c r="AS92" s="5">
        <f t="shared" si="4"/>
        <v>295</v>
      </c>
    </row>
    <row r="93" spans="1:45" x14ac:dyDescent="0.2">
      <c r="A93" s="9">
        <v>98</v>
      </c>
      <c r="B93" s="9" t="s">
        <v>99</v>
      </c>
      <c r="C93" s="9">
        <v>1727</v>
      </c>
      <c r="D93" s="1" t="s">
        <v>90</v>
      </c>
      <c r="E93" s="9">
        <v>0.14829999999999999</v>
      </c>
      <c r="F93" t="s">
        <v>40</v>
      </c>
      <c r="K93">
        <v>1000</v>
      </c>
      <c r="AD93">
        <v>125</v>
      </c>
      <c r="AE93">
        <v>70</v>
      </c>
      <c r="AI93">
        <v>35</v>
      </c>
      <c r="AM93">
        <v>220</v>
      </c>
      <c r="AS93" s="5">
        <f t="shared" si="4"/>
        <v>550</v>
      </c>
    </row>
    <row r="94" spans="1:45" x14ac:dyDescent="0.2">
      <c r="A94" s="9">
        <v>99</v>
      </c>
      <c r="B94" s="9" t="s">
        <v>99</v>
      </c>
      <c r="C94" s="9">
        <v>1727</v>
      </c>
      <c r="D94" s="1" t="s">
        <v>91</v>
      </c>
      <c r="E94" s="9">
        <v>0.13650000000000001</v>
      </c>
      <c r="F94" t="s">
        <v>40</v>
      </c>
      <c r="K94">
        <v>1000</v>
      </c>
      <c r="AE94">
        <v>70</v>
      </c>
      <c r="AM94">
        <v>220</v>
      </c>
      <c r="AP94">
        <v>120</v>
      </c>
      <c r="AS94" s="5">
        <f t="shared" si="4"/>
        <v>590</v>
      </c>
    </row>
    <row r="95" spans="1:45" x14ac:dyDescent="0.2">
      <c r="A95" s="9">
        <v>100</v>
      </c>
      <c r="B95" s="9" t="s">
        <v>99</v>
      </c>
      <c r="C95" s="9">
        <v>1727</v>
      </c>
      <c r="D95" s="1" t="s">
        <v>85</v>
      </c>
      <c r="E95" s="9">
        <v>0.20780000000000001</v>
      </c>
      <c r="F95" t="s">
        <v>40</v>
      </c>
      <c r="K95">
        <v>1000</v>
      </c>
      <c r="AE95">
        <v>70</v>
      </c>
      <c r="AF95">
        <v>60</v>
      </c>
      <c r="AM95">
        <v>220</v>
      </c>
      <c r="AP95">
        <v>120</v>
      </c>
      <c r="AS95" s="5">
        <f t="shared" si="4"/>
        <v>530</v>
      </c>
    </row>
    <row r="96" spans="1:45" x14ac:dyDescent="0.2">
      <c r="A96" s="9">
        <v>101</v>
      </c>
      <c r="B96" s="9" t="s">
        <v>99</v>
      </c>
      <c r="C96" t="s">
        <v>101</v>
      </c>
      <c r="D96" s="1" t="s">
        <v>90</v>
      </c>
      <c r="E96" s="9">
        <v>0.16889999999999999</v>
      </c>
      <c r="F96" s="9" t="s">
        <v>27</v>
      </c>
      <c r="K96">
        <v>1000</v>
      </c>
      <c r="AE96">
        <v>70</v>
      </c>
      <c r="AI96">
        <v>70</v>
      </c>
      <c r="AK96">
        <v>220</v>
      </c>
      <c r="AS96" s="5">
        <f t="shared" si="4"/>
        <v>640</v>
      </c>
    </row>
    <row r="97" spans="1:45" x14ac:dyDescent="0.2">
      <c r="A97">
        <v>102</v>
      </c>
      <c r="B97" t="s">
        <v>99</v>
      </c>
      <c r="C97" t="s">
        <v>101</v>
      </c>
      <c r="D97" s="1" t="s">
        <v>91</v>
      </c>
      <c r="E97">
        <v>0.1062</v>
      </c>
      <c r="F97" t="s">
        <v>27</v>
      </c>
      <c r="K97">
        <v>1000</v>
      </c>
      <c r="AA97">
        <v>75</v>
      </c>
      <c r="AH97">
        <v>65</v>
      </c>
      <c r="AJ97">
        <v>125</v>
      </c>
      <c r="AK97">
        <v>220</v>
      </c>
      <c r="AN97">
        <v>120</v>
      </c>
      <c r="AS97" s="5">
        <f t="shared" si="4"/>
        <v>395</v>
      </c>
    </row>
    <row r="98" spans="1:45" s="54" customFormat="1" x14ac:dyDescent="0.2">
      <c r="A98" s="54">
        <v>103</v>
      </c>
      <c r="B98" s="54" t="s">
        <v>99</v>
      </c>
      <c r="C98" s="54" t="s">
        <v>101</v>
      </c>
      <c r="D98" s="55" t="s">
        <v>85</v>
      </c>
      <c r="E98" s="54">
        <v>0.13650000000000001</v>
      </c>
      <c r="F98" s="54" t="s">
        <v>27</v>
      </c>
      <c r="K98" s="54">
        <v>1000</v>
      </c>
      <c r="AA98" s="54">
        <v>75</v>
      </c>
      <c r="AH98" s="54">
        <v>65</v>
      </c>
      <c r="AJ98" s="54">
        <v>125</v>
      </c>
      <c r="AK98" s="54">
        <v>220</v>
      </c>
      <c r="AM98" s="54">
        <v>220</v>
      </c>
      <c r="AN98" s="54" t="s">
        <v>183</v>
      </c>
      <c r="AS98" s="5">
        <f t="shared" si="4"/>
        <v>295</v>
      </c>
    </row>
    <row r="99" spans="1:45" x14ac:dyDescent="0.2">
      <c r="A99" s="9">
        <v>104</v>
      </c>
      <c r="B99" s="9" t="s">
        <v>102</v>
      </c>
      <c r="C99">
        <v>2018088</v>
      </c>
      <c r="D99" s="1" t="s">
        <v>93</v>
      </c>
      <c r="E99" s="9">
        <v>0.2467</v>
      </c>
      <c r="F99" s="9" t="s">
        <v>27</v>
      </c>
      <c r="K99">
        <v>1000</v>
      </c>
      <c r="AA99">
        <v>75</v>
      </c>
      <c r="AH99">
        <v>65</v>
      </c>
      <c r="AI99">
        <v>70</v>
      </c>
      <c r="AJ99">
        <v>125</v>
      </c>
      <c r="AK99">
        <v>220</v>
      </c>
      <c r="AL99">
        <v>25</v>
      </c>
      <c r="AS99" s="5">
        <f t="shared" si="4"/>
        <v>420</v>
      </c>
    </row>
    <row r="100" spans="1:45" x14ac:dyDescent="0.2">
      <c r="A100" s="9">
        <v>105</v>
      </c>
      <c r="B100" s="9" t="s">
        <v>102</v>
      </c>
      <c r="C100">
        <v>2018088</v>
      </c>
      <c r="D100" s="1" t="s">
        <v>94</v>
      </c>
      <c r="E100" s="9">
        <v>0.18579999999999999</v>
      </c>
      <c r="F100" s="9" t="s">
        <v>27</v>
      </c>
      <c r="K100">
        <v>1000</v>
      </c>
      <c r="AA100">
        <v>75</v>
      </c>
      <c r="AH100">
        <v>65</v>
      </c>
      <c r="AJ100">
        <v>125</v>
      </c>
      <c r="AK100">
        <v>220</v>
      </c>
      <c r="AL100">
        <v>25</v>
      </c>
      <c r="AN100">
        <v>120</v>
      </c>
      <c r="AS100" s="5">
        <f t="shared" si="4"/>
        <v>370</v>
      </c>
    </row>
    <row r="101" spans="1:45" x14ac:dyDescent="0.2">
      <c r="A101" s="9">
        <v>106</v>
      </c>
      <c r="B101" s="9" t="s">
        <v>102</v>
      </c>
      <c r="C101">
        <v>2018088</v>
      </c>
      <c r="D101" s="1" t="s">
        <v>95</v>
      </c>
      <c r="E101" s="9">
        <v>0.20810000000000001</v>
      </c>
      <c r="F101" s="9" t="s">
        <v>27</v>
      </c>
      <c r="K101">
        <v>1000</v>
      </c>
      <c r="AA101">
        <v>75</v>
      </c>
      <c r="AH101">
        <v>65</v>
      </c>
      <c r="AI101">
        <v>70</v>
      </c>
      <c r="AJ101">
        <v>125</v>
      </c>
      <c r="AK101">
        <v>220</v>
      </c>
      <c r="AL101">
        <v>25</v>
      </c>
      <c r="AS101" s="5">
        <f t="shared" si="4"/>
        <v>420</v>
      </c>
    </row>
    <row r="102" spans="1:45" x14ac:dyDescent="0.2">
      <c r="A102" s="9">
        <v>107</v>
      </c>
      <c r="B102" s="9" t="s">
        <v>102</v>
      </c>
      <c r="C102">
        <v>2018088</v>
      </c>
      <c r="D102" s="1" t="s">
        <v>96</v>
      </c>
      <c r="E102" s="9">
        <v>0.2838</v>
      </c>
      <c r="F102" s="9" t="s">
        <v>27</v>
      </c>
      <c r="K102">
        <v>1000</v>
      </c>
      <c r="AA102">
        <v>75</v>
      </c>
      <c r="AH102">
        <v>65</v>
      </c>
      <c r="AI102">
        <v>70</v>
      </c>
      <c r="AK102">
        <v>220</v>
      </c>
      <c r="AL102">
        <v>25</v>
      </c>
      <c r="AS102" s="5">
        <f t="shared" si="4"/>
        <v>545</v>
      </c>
    </row>
    <row r="103" spans="1:45" x14ac:dyDescent="0.2">
      <c r="A103" s="9">
        <v>108</v>
      </c>
      <c r="B103" s="9" t="s">
        <v>102</v>
      </c>
      <c r="C103">
        <v>2019198</v>
      </c>
      <c r="D103" s="1" t="s">
        <v>90</v>
      </c>
      <c r="E103" s="9">
        <v>0.20799999999999999</v>
      </c>
      <c r="F103" s="9" t="s">
        <v>40</v>
      </c>
      <c r="K103">
        <v>1000</v>
      </c>
      <c r="AD103">
        <v>125</v>
      </c>
      <c r="AH103">
        <v>65</v>
      </c>
      <c r="AI103">
        <v>35</v>
      </c>
      <c r="AJ103">
        <v>125</v>
      </c>
      <c r="AM103">
        <v>220</v>
      </c>
      <c r="AS103" s="5">
        <f t="shared" si="4"/>
        <v>430</v>
      </c>
    </row>
    <row r="104" spans="1:45" x14ac:dyDescent="0.2">
      <c r="A104" s="9">
        <v>109</v>
      </c>
      <c r="B104" s="9" t="s">
        <v>102</v>
      </c>
      <c r="C104">
        <v>2019198</v>
      </c>
      <c r="D104" s="1" t="s">
        <v>85</v>
      </c>
      <c r="E104" s="9">
        <v>0.23980000000000001</v>
      </c>
      <c r="F104" s="9" t="s">
        <v>40</v>
      </c>
      <c r="K104">
        <v>1000</v>
      </c>
      <c r="AH104">
        <v>65</v>
      </c>
      <c r="AI104">
        <v>35</v>
      </c>
      <c r="AJ104">
        <v>125</v>
      </c>
      <c r="AM104">
        <v>220</v>
      </c>
      <c r="AS104" s="5">
        <f t="shared" si="4"/>
        <v>555</v>
      </c>
    </row>
    <row r="105" spans="1:45" x14ac:dyDescent="0.2">
      <c r="A105" s="9">
        <v>110</v>
      </c>
      <c r="B105" s="9" t="s">
        <v>102</v>
      </c>
      <c r="C105">
        <v>2018158</v>
      </c>
      <c r="D105" s="1" t="s">
        <v>90</v>
      </c>
      <c r="E105" s="9">
        <v>0.14910000000000001</v>
      </c>
      <c r="F105" s="9" t="s">
        <v>27</v>
      </c>
      <c r="K105">
        <v>1000</v>
      </c>
      <c r="AA105">
        <v>75</v>
      </c>
      <c r="AG105">
        <v>65</v>
      </c>
      <c r="AH105">
        <v>65</v>
      </c>
      <c r="AI105">
        <v>70</v>
      </c>
      <c r="AK105">
        <v>220</v>
      </c>
      <c r="AL105">
        <v>25</v>
      </c>
      <c r="AN105">
        <v>120</v>
      </c>
      <c r="AS105" s="5">
        <f t="shared" si="4"/>
        <v>360</v>
      </c>
    </row>
    <row r="106" spans="1:45" x14ac:dyDescent="0.2">
      <c r="A106" s="9">
        <v>111</v>
      </c>
      <c r="B106" s="9" t="s">
        <v>102</v>
      </c>
      <c r="C106">
        <v>2018158</v>
      </c>
      <c r="D106" s="1" t="s">
        <v>85</v>
      </c>
      <c r="E106" s="9">
        <v>0.1171</v>
      </c>
      <c r="F106" s="9" t="s">
        <v>27</v>
      </c>
      <c r="K106">
        <v>1000</v>
      </c>
      <c r="AA106">
        <v>75</v>
      </c>
      <c r="AG106">
        <v>65</v>
      </c>
      <c r="AH106">
        <v>65</v>
      </c>
      <c r="AJ106">
        <v>125</v>
      </c>
      <c r="AK106">
        <v>220</v>
      </c>
      <c r="AL106">
        <v>25</v>
      </c>
      <c r="AP106">
        <v>120</v>
      </c>
      <c r="AS106" s="5">
        <f t="shared" si="4"/>
        <v>305</v>
      </c>
    </row>
    <row r="107" spans="1:45" x14ac:dyDescent="0.2">
      <c r="A107" s="9">
        <v>112</v>
      </c>
      <c r="B107" s="9" t="s">
        <v>102</v>
      </c>
      <c r="C107">
        <v>2019031</v>
      </c>
      <c r="D107" s="1" t="s">
        <v>97</v>
      </c>
      <c r="E107" s="9">
        <v>0.19550000000000001</v>
      </c>
      <c r="F107" s="9" t="s">
        <v>27</v>
      </c>
      <c r="K107">
        <v>1000</v>
      </c>
      <c r="Y107">
        <v>75</v>
      </c>
      <c r="AB107">
        <v>75</v>
      </c>
      <c r="AH107">
        <v>65</v>
      </c>
      <c r="AI107">
        <v>70</v>
      </c>
      <c r="AJ107">
        <v>125</v>
      </c>
      <c r="AK107">
        <v>220</v>
      </c>
      <c r="AL107">
        <v>25</v>
      </c>
      <c r="AS107" s="5">
        <f t="shared" si="4"/>
        <v>345</v>
      </c>
    </row>
    <row r="108" spans="1:45" x14ac:dyDescent="0.2">
      <c r="A108" s="9">
        <v>113</v>
      </c>
      <c r="B108" s="9" t="s">
        <v>102</v>
      </c>
      <c r="C108">
        <v>2019031</v>
      </c>
      <c r="D108" s="1" t="s">
        <v>98</v>
      </c>
      <c r="E108" s="9">
        <v>0.25140000000000001</v>
      </c>
      <c r="F108" s="9" t="s">
        <v>27</v>
      </c>
      <c r="K108">
        <v>1000</v>
      </c>
      <c r="Y108">
        <v>75</v>
      </c>
      <c r="AB108">
        <v>75</v>
      </c>
      <c r="AH108">
        <v>65</v>
      </c>
      <c r="AK108">
        <v>220</v>
      </c>
      <c r="AL108">
        <v>25</v>
      </c>
      <c r="AO108">
        <v>120</v>
      </c>
      <c r="AP108">
        <v>120</v>
      </c>
      <c r="AS108" s="5">
        <f t="shared" si="4"/>
        <v>300</v>
      </c>
    </row>
    <row r="109" spans="1:45" x14ac:dyDescent="0.2">
      <c r="A109" s="9">
        <v>114</v>
      </c>
      <c r="B109" s="9" t="s">
        <v>102</v>
      </c>
      <c r="C109">
        <v>2019031</v>
      </c>
      <c r="D109" s="1" t="s">
        <v>90</v>
      </c>
      <c r="E109" s="9">
        <v>0.1714</v>
      </c>
      <c r="F109" s="9" t="s">
        <v>27</v>
      </c>
      <c r="K109">
        <v>1000</v>
      </c>
      <c r="AA109">
        <v>75</v>
      </c>
      <c r="AH109">
        <v>65</v>
      </c>
      <c r="AI109">
        <v>70</v>
      </c>
      <c r="AJ109">
        <v>125</v>
      </c>
      <c r="AK109">
        <v>220</v>
      </c>
      <c r="AL109">
        <v>25</v>
      </c>
      <c r="AS109" s="5">
        <f t="shared" si="4"/>
        <v>420</v>
      </c>
    </row>
    <row r="110" spans="1:45" x14ac:dyDescent="0.2">
      <c r="A110" s="9">
        <v>115</v>
      </c>
      <c r="B110" s="9" t="s">
        <v>102</v>
      </c>
      <c r="C110">
        <v>2019031</v>
      </c>
      <c r="D110" s="1" t="s">
        <v>85</v>
      </c>
      <c r="E110" s="9">
        <v>0.14610000000000001</v>
      </c>
      <c r="F110" s="9" t="s">
        <v>27</v>
      </c>
      <c r="K110">
        <v>1000</v>
      </c>
      <c r="AA110">
        <v>75</v>
      </c>
      <c r="AH110">
        <v>65</v>
      </c>
      <c r="AI110">
        <v>70</v>
      </c>
      <c r="AK110">
        <v>220</v>
      </c>
      <c r="AL110">
        <v>25</v>
      </c>
      <c r="AS110" s="5">
        <f t="shared" si="4"/>
        <v>545</v>
      </c>
    </row>
    <row r="111" spans="1:45" x14ac:dyDescent="0.2">
      <c r="A111" s="9">
        <v>116</v>
      </c>
      <c r="B111" s="9" t="s">
        <v>102</v>
      </c>
      <c r="C111">
        <v>2019100</v>
      </c>
      <c r="D111" s="1" t="s">
        <v>90</v>
      </c>
      <c r="E111" s="9">
        <v>0.2029</v>
      </c>
      <c r="F111" s="9" t="s">
        <v>40</v>
      </c>
      <c r="K111">
        <v>1000</v>
      </c>
      <c r="AD111">
        <v>125</v>
      </c>
      <c r="AH111">
        <v>65</v>
      </c>
      <c r="AI111">
        <v>35</v>
      </c>
      <c r="AJ111">
        <v>125</v>
      </c>
      <c r="AM111">
        <v>220</v>
      </c>
      <c r="AS111" s="5">
        <f t="shared" si="4"/>
        <v>430</v>
      </c>
    </row>
    <row r="112" spans="1:45" x14ac:dyDescent="0.2">
      <c r="A112" s="9">
        <v>117</v>
      </c>
      <c r="B112" s="9" t="s">
        <v>102</v>
      </c>
      <c r="C112">
        <v>2019100</v>
      </c>
      <c r="D112" s="1" t="s">
        <v>91</v>
      </c>
      <c r="E112" s="9">
        <v>0.17419999999999999</v>
      </c>
      <c r="F112" s="9" t="s">
        <v>40</v>
      </c>
      <c r="K112">
        <v>1000</v>
      </c>
      <c r="AH112">
        <v>65</v>
      </c>
      <c r="AI112">
        <v>35</v>
      </c>
      <c r="AM112">
        <v>220</v>
      </c>
      <c r="AS112" s="5">
        <f t="shared" si="4"/>
        <v>680</v>
      </c>
    </row>
    <row r="113" spans="1:45" x14ac:dyDescent="0.2">
      <c r="A113" s="9">
        <v>118</v>
      </c>
      <c r="B113" s="9" t="s">
        <v>102</v>
      </c>
      <c r="C113">
        <v>2019100</v>
      </c>
      <c r="D113" s="1" t="s">
        <v>85</v>
      </c>
      <c r="E113" s="9">
        <v>0.30380000000000001</v>
      </c>
      <c r="F113" s="9" t="s">
        <v>40</v>
      </c>
      <c r="K113">
        <v>1000</v>
      </c>
      <c r="AH113">
        <v>65</v>
      </c>
      <c r="AI113">
        <v>35</v>
      </c>
      <c r="AJ113">
        <v>125</v>
      </c>
      <c r="AM113">
        <v>220</v>
      </c>
      <c r="AS113" s="5">
        <f t="shared" si="4"/>
        <v>555</v>
      </c>
    </row>
    <row r="114" spans="1:45" x14ac:dyDescent="0.2">
      <c r="A114" s="9">
        <v>119</v>
      </c>
      <c r="B114" s="9" t="s">
        <v>102</v>
      </c>
      <c r="C114">
        <v>2019018</v>
      </c>
      <c r="D114" s="1" t="s">
        <v>90</v>
      </c>
      <c r="E114" s="9">
        <v>0.24590000000000001</v>
      </c>
      <c r="F114" t="s">
        <v>40</v>
      </c>
      <c r="K114">
        <v>1000</v>
      </c>
      <c r="AD114">
        <v>125</v>
      </c>
      <c r="AH114">
        <v>65</v>
      </c>
      <c r="AI114">
        <v>35</v>
      </c>
      <c r="AM114">
        <v>220</v>
      </c>
      <c r="AS114" s="5">
        <f t="shared" si="4"/>
        <v>555</v>
      </c>
    </row>
    <row r="115" spans="1:45" x14ac:dyDescent="0.2">
      <c r="A115" s="9">
        <v>120</v>
      </c>
      <c r="B115" s="9" t="s">
        <v>102</v>
      </c>
      <c r="C115">
        <v>2019018</v>
      </c>
      <c r="D115" s="1" t="s">
        <v>91</v>
      </c>
      <c r="E115" s="9">
        <v>0.32440000000000002</v>
      </c>
      <c r="F115" t="s">
        <v>40</v>
      </c>
      <c r="K115">
        <v>1000</v>
      </c>
      <c r="AH115">
        <v>65</v>
      </c>
      <c r="AI115">
        <v>35</v>
      </c>
      <c r="AJ115">
        <v>125</v>
      </c>
      <c r="AM115">
        <v>220</v>
      </c>
      <c r="AS115" s="5">
        <f t="shared" si="4"/>
        <v>555</v>
      </c>
    </row>
    <row r="116" spans="1:45" x14ac:dyDescent="0.2">
      <c r="A116" s="9">
        <v>121</v>
      </c>
      <c r="B116" s="9" t="s">
        <v>102</v>
      </c>
      <c r="C116">
        <v>2019018</v>
      </c>
      <c r="D116" s="1" t="s">
        <v>85</v>
      </c>
      <c r="E116" s="9">
        <v>0.1434</v>
      </c>
      <c r="F116" t="s">
        <v>40</v>
      </c>
      <c r="K116">
        <v>1000</v>
      </c>
      <c r="AH116">
        <v>65</v>
      </c>
      <c r="AI116">
        <v>35</v>
      </c>
      <c r="AJ116">
        <v>125</v>
      </c>
      <c r="AM116">
        <v>220</v>
      </c>
      <c r="AS116" s="5">
        <f t="shared" si="4"/>
        <v>555</v>
      </c>
    </row>
    <row r="117" spans="1:45" x14ac:dyDescent="0.2">
      <c r="A117" s="9">
        <v>122</v>
      </c>
      <c r="B117" s="9" t="s">
        <v>102</v>
      </c>
      <c r="C117">
        <v>2017109</v>
      </c>
      <c r="E117" s="20">
        <v>0.14560000000000001</v>
      </c>
      <c r="F117" t="s">
        <v>27</v>
      </c>
      <c r="K117">
        <v>1000</v>
      </c>
      <c r="AH117">
        <v>65</v>
      </c>
      <c r="AI117">
        <v>35</v>
      </c>
      <c r="AM117">
        <v>220</v>
      </c>
      <c r="AS117" s="5">
        <f t="shared" si="4"/>
        <v>680</v>
      </c>
    </row>
    <row r="118" spans="1:45" x14ac:dyDescent="0.2">
      <c r="A118" s="9">
        <v>123</v>
      </c>
      <c r="B118" s="9" t="s">
        <v>102</v>
      </c>
      <c r="C118">
        <v>2017109</v>
      </c>
      <c r="E118" s="56">
        <v>0.20069999999999999</v>
      </c>
      <c r="F118" t="s">
        <v>27</v>
      </c>
      <c r="K118">
        <v>1000</v>
      </c>
      <c r="AH118">
        <v>65</v>
      </c>
      <c r="AI118">
        <v>35</v>
      </c>
      <c r="AJ118">
        <v>125</v>
      </c>
      <c r="AS118" s="5">
        <f t="shared" si="4"/>
        <v>775</v>
      </c>
    </row>
    <row r="119" spans="1:45" x14ac:dyDescent="0.2">
      <c r="AS119" t="s">
        <v>136</v>
      </c>
    </row>
  </sheetData>
  <autoFilter ref="A1:AT119" xr:uid="{4F14CF88-81EC-6944-9EC6-B5E00F658A4B}"/>
  <phoneticPr fontId="6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E14E-8F57-ED49-885A-9D7622F740B0}">
  <dimension ref="A1:AP118"/>
  <sheetViews>
    <sheetView workbookViewId="0">
      <pane xSplit="1" topLeftCell="P1" activePane="topRight" state="frozen"/>
      <selection pane="topRight" activeCell="H65" sqref="H65"/>
    </sheetView>
  </sheetViews>
  <sheetFormatPr baseColWidth="10" defaultRowHeight="16" x14ac:dyDescent="0.2"/>
  <cols>
    <col min="3" max="3" width="22.33203125" customWidth="1"/>
    <col min="4" max="4" width="22.33203125" style="1" hidden="1" customWidth="1"/>
    <col min="5" max="5" width="22.33203125" style="1" customWidth="1"/>
    <col min="6" max="9" width="10.83203125" customWidth="1"/>
    <col min="10" max="10" width="24.5" hidden="1" customWidth="1"/>
    <col min="11" max="12" width="13.1640625" hidden="1" customWidth="1"/>
    <col min="13" max="13" width="7" hidden="1" customWidth="1"/>
    <col min="14" max="14" width="8.5" hidden="1" customWidth="1"/>
    <col min="15" max="15" width="10.83203125" hidden="1" customWidth="1"/>
    <col min="16" max="19" width="10.83203125" customWidth="1"/>
  </cols>
  <sheetData>
    <row r="1" spans="1:42" x14ac:dyDescent="0.2">
      <c r="A1" t="s">
        <v>0</v>
      </c>
      <c r="B1" t="s">
        <v>1</v>
      </c>
      <c r="C1" t="s">
        <v>1</v>
      </c>
      <c r="D1" s="1" t="s">
        <v>6</v>
      </c>
      <c r="F1" t="s">
        <v>2</v>
      </c>
      <c r="G1" t="s">
        <v>3</v>
      </c>
      <c r="H1" t="s">
        <v>4</v>
      </c>
      <c r="I1" t="s">
        <v>29</v>
      </c>
      <c r="J1" t="s">
        <v>5</v>
      </c>
      <c r="K1" t="s">
        <v>103</v>
      </c>
      <c r="M1" t="s">
        <v>120</v>
      </c>
      <c r="N1" t="s">
        <v>119</v>
      </c>
      <c r="O1" t="s">
        <v>118</v>
      </c>
      <c r="P1" t="s">
        <v>117</v>
      </c>
      <c r="Q1" t="s">
        <v>77</v>
      </c>
      <c r="R1" t="s">
        <v>116</v>
      </c>
      <c r="S1" t="s">
        <v>115</v>
      </c>
      <c r="T1" t="s">
        <v>114</v>
      </c>
      <c r="U1" t="s">
        <v>113</v>
      </c>
      <c r="V1" t="s">
        <v>112</v>
      </c>
      <c r="W1" t="s">
        <v>111</v>
      </c>
    </row>
    <row r="2" spans="1:42" x14ac:dyDescent="0.2">
      <c r="A2" s="5">
        <v>1</v>
      </c>
      <c r="B2" s="5" t="s">
        <v>99</v>
      </c>
      <c r="C2" s="5">
        <v>1429</v>
      </c>
      <c r="D2" s="6" t="s">
        <v>7</v>
      </c>
      <c r="E2" s="52" t="s">
        <v>90</v>
      </c>
      <c r="F2" s="5">
        <v>0.50780000000000003</v>
      </c>
      <c r="G2" s="5" t="s">
        <v>27</v>
      </c>
      <c r="H2" s="5" t="s">
        <v>28</v>
      </c>
      <c r="I2" s="5" t="s">
        <v>30</v>
      </c>
      <c r="J2" s="5" t="s">
        <v>31</v>
      </c>
      <c r="K2" s="5" t="s">
        <v>108</v>
      </c>
      <c r="L2" s="5"/>
      <c r="P2" t="s">
        <v>129</v>
      </c>
      <c r="Q2" s="5">
        <v>3</v>
      </c>
      <c r="T2" s="11">
        <v>0</v>
      </c>
      <c r="U2" s="11">
        <v>2.7122489168964159</v>
      </c>
    </row>
    <row r="3" spans="1:42" x14ac:dyDescent="0.2">
      <c r="A3">
        <v>2</v>
      </c>
      <c r="B3" s="5" t="s">
        <v>99</v>
      </c>
      <c r="C3">
        <v>1429</v>
      </c>
      <c r="D3" s="1" t="s">
        <v>8</v>
      </c>
      <c r="E3" s="52" t="s">
        <v>91</v>
      </c>
      <c r="F3">
        <v>0.5746</v>
      </c>
      <c r="G3" t="s">
        <v>27</v>
      </c>
      <c r="H3" t="s">
        <v>28</v>
      </c>
      <c r="I3" t="s">
        <v>30</v>
      </c>
      <c r="J3" t="s">
        <v>31</v>
      </c>
      <c r="K3" s="5" t="s">
        <v>108</v>
      </c>
      <c r="L3" s="5"/>
      <c r="P3" t="s">
        <v>129</v>
      </c>
      <c r="Q3">
        <v>3</v>
      </c>
      <c r="T3" s="11">
        <v>0</v>
      </c>
      <c r="U3" s="11">
        <v>6.3643578141315702</v>
      </c>
    </row>
    <row r="4" spans="1:42" x14ac:dyDescent="0.2">
      <c r="A4">
        <v>3</v>
      </c>
      <c r="B4" s="5" t="s">
        <v>99</v>
      </c>
      <c r="C4">
        <v>1429</v>
      </c>
      <c r="D4" s="1" t="s">
        <v>9</v>
      </c>
      <c r="E4" s="52" t="s">
        <v>85</v>
      </c>
      <c r="F4">
        <v>0.35510000000000003</v>
      </c>
      <c r="G4" t="s">
        <v>27</v>
      </c>
      <c r="H4" t="s">
        <v>28</v>
      </c>
      <c r="I4" t="s">
        <v>30</v>
      </c>
      <c r="J4" t="s">
        <v>31</v>
      </c>
      <c r="K4" s="5" t="s">
        <v>108</v>
      </c>
      <c r="L4" s="5"/>
      <c r="P4" t="s">
        <v>129</v>
      </c>
      <c r="Q4">
        <v>3</v>
      </c>
      <c r="T4" s="11">
        <v>0</v>
      </c>
      <c r="U4" s="11">
        <v>4.552633061109546</v>
      </c>
      <c r="W4" s="44"/>
      <c r="X4" s="44"/>
      <c r="Y4" s="44"/>
      <c r="Z4" s="44"/>
      <c r="AA4" s="44"/>
      <c r="AB4" s="44"/>
      <c r="AC4" s="44"/>
      <c r="AD4" s="44"/>
      <c r="AE4" s="44"/>
      <c r="AF4" s="44"/>
      <c r="AG4" s="43"/>
      <c r="AH4" s="42"/>
      <c r="AI4" s="42"/>
      <c r="AJ4" s="42"/>
      <c r="AK4" s="42"/>
      <c r="AL4" s="42"/>
      <c r="AM4" s="42"/>
      <c r="AN4" s="42"/>
      <c r="AO4" s="42"/>
      <c r="AP4" s="42"/>
    </row>
    <row r="5" spans="1:42" x14ac:dyDescent="0.2">
      <c r="A5" s="5">
        <v>4</v>
      </c>
      <c r="B5" s="5" t="s">
        <v>99</v>
      </c>
      <c r="C5" s="5">
        <v>1149</v>
      </c>
      <c r="D5" s="6" t="s">
        <v>7</v>
      </c>
      <c r="E5" s="52" t="s">
        <v>90</v>
      </c>
      <c r="F5" s="5">
        <v>0.21290000000000001</v>
      </c>
      <c r="G5" s="5" t="s">
        <v>27</v>
      </c>
      <c r="H5" s="5" t="s">
        <v>33</v>
      </c>
      <c r="I5" s="5" t="s">
        <v>34</v>
      </c>
      <c r="J5" s="5" t="s">
        <v>35</v>
      </c>
      <c r="K5" s="5" t="s">
        <v>108</v>
      </c>
      <c r="L5" s="5"/>
      <c r="P5" t="s">
        <v>129</v>
      </c>
      <c r="Q5" s="5">
        <v>3.4</v>
      </c>
      <c r="R5" s="11">
        <v>4.9550962893377175</v>
      </c>
      <c r="T5" s="11">
        <v>0</v>
      </c>
      <c r="U5" s="11">
        <v>2.356787224048849</v>
      </c>
      <c r="W5" s="39">
        <v>0.6</v>
      </c>
      <c r="X5" s="39"/>
      <c r="Y5" s="40"/>
      <c r="Z5" s="39"/>
      <c r="AA5" s="39"/>
      <c r="AB5" s="39"/>
      <c r="AC5" s="39"/>
      <c r="AD5" s="39"/>
      <c r="AE5" s="38"/>
      <c r="AF5" s="38"/>
      <c r="AG5" s="37"/>
      <c r="AH5" s="36"/>
      <c r="AI5" s="36"/>
      <c r="AJ5" s="36"/>
      <c r="AK5" s="36"/>
      <c r="AL5" s="36"/>
      <c r="AM5" s="36"/>
      <c r="AN5" s="36"/>
      <c r="AO5" s="36"/>
      <c r="AP5" s="36"/>
    </row>
    <row r="6" spans="1:42" x14ac:dyDescent="0.2">
      <c r="A6">
        <v>5</v>
      </c>
      <c r="B6" s="5" t="s">
        <v>99</v>
      </c>
      <c r="C6">
        <v>1149</v>
      </c>
      <c r="D6" s="1" t="s">
        <v>10</v>
      </c>
      <c r="E6" s="52" t="s">
        <v>91</v>
      </c>
      <c r="F6">
        <v>0.22189999999999999</v>
      </c>
      <c r="G6" t="s">
        <v>27</v>
      </c>
      <c r="H6" t="s">
        <v>33</v>
      </c>
      <c r="I6" t="s">
        <v>34</v>
      </c>
      <c r="J6" t="s">
        <v>35</v>
      </c>
      <c r="K6" s="5" t="s">
        <v>108</v>
      </c>
      <c r="L6" s="5"/>
      <c r="P6" t="s">
        <v>129</v>
      </c>
      <c r="Q6">
        <v>3.5</v>
      </c>
      <c r="R6" s="11">
        <v>1.0337990085624156</v>
      </c>
      <c r="T6" s="11">
        <v>0</v>
      </c>
      <c r="U6" s="11">
        <v>0.81388012618296535</v>
      </c>
      <c r="W6" s="39"/>
      <c r="X6" s="39"/>
      <c r="Y6" s="40"/>
      <c r="Z6" s="39"/>
      <c r="AA6" s="39"/>
      <c r="AB6" s="39"/>
      <c r="AC6" s="39"/>
      <c r="AD6" s="39"/>
      <c r="AE6" s="38"/>
      <c r="AF6" s="38"/>
      <c r="AG6" s="37"/>
      <c r="AH6" s="36"/>
      <c r="AI6" s="36"/>
      <c r="AJ6" s="36"/>
      <c r="AK6" s="36"/>
      <c r="AL6" s="36"/>
      <c r="AM6" s="36"/>
      <c r="AN6" s="36"/>
      <c r="AO6" s="36"/>
      <c r="AP6" s="36"/>
    </row>
    <row r="7" spans="1:42" x14ac:dyDescent="0.2">
      <c r="A7" s="5">
        <v>6</v>
      </c>
      <c r="B7" s="5" t="s">
        <v>99</v>
      </c>
      <c r="C7" s="5">
        <v>1650</v>
      </c>
      <c r="D7" s="6" t="s">
        <v>7</v>
      </c>
      <c r="E7" s="52" t="s">
        <v>90</v>
      </c>
      <c r="F7" s="5">
        <v>0.42520000000000002</v>
      </c>
      <c r="G7" s="5" t="s">
        <v>27</v>
      </c>
      <c r="H7" s="5" t="s">
        <v>36</v>
      </c>
      <c r="I7" s="5" t="s">
        <v>34</v>
      </c>
      <c r="J7" s="5" t="s">
        <v>31</v>
      </c>
      <c r="K7" s="5" t="s">
        <v>108</v>
      </c>
      <c r="L7" s="5"/>
      <c r="P7" t="s">
        <v>129</v>
      </c>
      <c r="Q7" s="5">
        <v>4</v>
      </c>
      <c r="R7" s="11">
        <v>8.3149903714316478E-2</v>
      </c>
      <c r="T7" s="11">
        <v>0</v>
      </c>
      <c r="U7" s="11">
        <v>10.277328316086546</v>
      </c>
      <c r="W7" s="39"/>
      <c r="X7" s="39"/>
      <c r="Y7" s="40"/>
      <c r="Z7" s="39"/>
      <c r="AA7" s="39"/>
      <c r="AB7" s="39"/>
      <c r="AC7" s="39"/>
      <c r="AD7" s="39"/>
      <c r="AE7" s="38"/>
      <c r="AF7" s="38"/>
      <c r="AG7" s="37"/>
      <c r="AH7" s="36"/>
      <c r="AI7" s="36"/>
      <c r="AJ7" s="36"/>
      <c r="AK7" s="36"/>
      <c r="AL7" s="36"/>
      <c r="AM7" s="36"/>
      <c r="AN7" s="36"/>
      <c r="AO7" s="36"/>
      <c r="AP7" s="36"/>
    </row>
    <row r="8" spans="1:42" x14ac:dyDescent="0.2">
      <c r="A8">
        <v>7</v>
      </c>
      <c r="B8" s="5" t="s">
        <v>99</v>
      </c>
      <c r="C8">
        <v>1650</v>
      </c>
      <c r="D8" s="1" t="s">
        <v>11</v>
      </c>
      <c r="E8" s="52" t="s">
        <v>85</v>
      </c>
      <c r="F8">
        <v>0.45519999999999999</v>
      </c>
      <c r="G8" t="s">
        <v>27</v>
      </c>
      <c r="H8" t="s">
        <v>36</v>
      </c>
      <c r="I8" t="s">
        <v>34</v>
      </c>
      <c r="J8" t="s">
        <v>31</v>
      </c>
      <c r="K8" s="5" t="s">
        <v>108</v>
      </c>
      <c r="L8" s="5"/>
      <c r="P8" t="s">
        <v>129</v>
      </c>
      <c r="Q8">
        <v>4</v>
      </c>
      <c r="R8" s="11">
        <v>7.7669901272687539E-2</v>
      </c>
      <c r="T8" s="11">
        <v>0</v>
      </c>
      <c r="U8" s="11">
        <v>8.2052724077328634</v>
      </c>
      <c r="W8" s="39"/>
      <c r="X8" s="39"/>
      <c r="Y8" s="40"/>
      <c r="Z8" s="39"/>
      <c r="AA8" s="39"/>
      <c r="AB8" s="39"/>
      <c r="AC8" s="39"/>
      <c r="AD8" s="39"/>
      <c r="AE8" s="38"/>
      <c r="AF8" s="38"/>
      <c r="AG8" s="37"/>
      <c r="AH8" s="36"/>
      <c r="AI8" s="36"/>
      <c r="AJ8" s="36"/>
      <c r="AK8" s="36"/>
      <c r="AL8" s="36"/>
      <c r="AM8" s="36"/>
      <c r="AN8" s="36"/>
      <c r="AO8" s="36"/>
      <c r="AP8" s="36"/>
    </row>
    <row r="9" spans="1:42" x14ac:dyDescent="0.2">
      <c r="A9" s="5">
        <v>8</v>
      </c>
      <c r="B9" s="5" t="s">
        <v>99</v>
      </c>
      <c r="C9" s="5">
        <v>1278</v>
      </c>
      <c r="D9" s="6" t="s">
        <v>7</v>
      </c>
      <c r="E9" s="52" t="s">
        <v>90</v>
      </c>
      <c r="F9" s="5">
        <v>0.20699999999999999</v>
      </c>
      <c r="G9" s="5" t="s">
        <v>27</v>
      </c>
      <c r="H9" s="5" t="s">
        <v>33</v>
      </c>
      <c r="I9" s="5" t="s">
        <v>34</v>
      </c>
      <c r="J9" s="5" t="s">
        <v>37</v>
      </c>
      <c r="K9" s="5" t="s">
        <v>108</v>
      </c>
      <c r="L9" s="5"/>
      <c r="P9" t="s">
        <v>129</v>
      </c>
      <c r="Q9" s="5">
        <v>3</v>
      </c>
      <c r="R9" s="41">
        <v>0.99893719806763293</v>
      </c>
      <c r="T9" s="11">
        <v>0</v>
      </c>
      <c r="U9" s="11">
        <v>8.8548792270531411</v>
      </c>
      <c r="W9" s="16">
        <v>2.2904196741054714</v>
      </c>
      <c r="X9" s="39"/>
      <c r="Y9" s="40"/>
      <c r="Z9" s="39"/>
      <c r="AA9" s="39"/>
      <c r="AB9" s="39"/>
      <c r="AC9" s="39"/>
      <c r="AD9" s="39"/>
      <c r="AE9" s="38"/>
      <c r="AF9" s="38"/>
      <c r="AG9" s="37"/>
      <c r="AH9" s="36"/>
      <c r="AI9" s="36"/>
      <c r="AJ9" s="36"/>
      <c r="AK9" s="36"/>
      <c r="AL9" s="36"/>
      <c r="AM9" s="36"/>
      <c r="AN9" s="36"/>
      <c r="AO9" s="36"/>
      <c r="AP9" s="36"/>
    </row>
    <row r="10" spans="1:42" x14ac:dyDescent="0.2">
      <c r="A10">
        <v>9</v>
      </c>
      <c r="B10" s="5" t="s">
        <v>99</v>
      </c>
      <c r="C10">
        <v>1278</v>
      </c>
      <c r="D10" s="1" t="s">
        <v>8</v>
      </c>
      <c r="E10" s="52" t="s">
        <v>91</v>
      </c>
      <c r="F10">
        <v>0.27310000000000001</v>
      </c>
      <c r="G10" t="s">
        <v>27</v>
      </c>
      <c r="H10" t="s">
        <v>33</v>
      </c>
      <c r="I10" t="s">
        <v>34</v>
      </c>
      <c r="J10" t="s">
        <v>37</v>
      </c>
      <c r="K10" s="5" t="s">
        <v>108</v>
      </c>
      <c r="L10" s="5"/>
      <c r="P10" t="s">
        <v>129</v>
      </c>
      <c r="Q10">
        <v>3</v>
      </c>
      <c r="R10" s="41">
        <v>0.87381911387770039</v>
      </c>
      <c r="T10" s="11">
        <v>0</v>
      </c>
      <c r="U10" s="11">
        <v>7.4897107286708167</v>
      </c>
      <c r="W10" s="8">
        <v>1.2857529774296623</v>
      </c>
      <c r="X10" s="39"/>
      <c r="Y10" s="40"/>
      <c r="Z10" s="39"/>
      <c r="AA10" s="39"/>
      <c r="AB10" s="39"/>
      <c r="AC10" s="39"/>
      <c r="AD10" s="39"/>
      <c r="AE10" s="38"/>
      <c r="AF10" s="38"/>
      <c r="AG10" s="37"/>
      <c r="AH10" s="36"/>
      <c r="AI10" s="36"/>
      <c r="AJ10" s="36"/>
      <c r="AK10" s="36"/>
      <c r="AL10" s="36"/>
      <c r="AM10" s="36"/>
      <c r="AN10" s="36"/>
      <c r="AO10" s="36"/>
      <c r="AP10" s="36"/>
    </row>
    <row r="11" spans="1:42" x14ac:dyDescent="0.2">
      <c r="A11">
        <v>10</v>
      </c>
      <c r="B11" s="5" t="s">
        <v>99</v>
      </c>
      <c r="C11">
        <v>1278</v>
      </c>
      <c r="D11" s="1" t="s">
        <v>13</v>
      </c>
      <c r="E11" s="52" t="s">
        <v>85</v>
      </c>
      <c r="F11">
        <v>0.32419999999999999</v>
      </c>
      <c r="G11" t="s">
        <v>27</v>
      </c>
      <c r="H11" t="s">
        <v>33</v>
      </c>
      <c r="I11" t="s">
        <v>34</v>
      </c>
      <c r="J11" t="s">
        <v>37</v>
      </c>
      <c r="K11" s="5" t="s">
        <v>108</v>
      </c>
      <c r="L11" s="5"/>
      <c r="P11" t="s">
        <v>129</v>
      </c>
      <c r="Q11">
        <v>3</v>
      </c>
      <c r="R11" s="41">
        <v>0.60407156076495994</v>
      </c>
      <c r="T11" s="11">
        <v>0</v>
      </c>
      <c r="U11" s="11">
        <v>7.9674275138803212</v>
      </c>
      <c r="W11" s="8">
        <v>8.1009589533858409E-2</v>
      </c>
      <c r="X11" s="39"/>
      <c r="Y11" s="40"/>
      <c r="Z11" s="39"/>
      <c r="AA11" s="39"/>
      <c r="AB11" s="39"/>
      <c r="AC11" s="39"/>
      <c r="AD11" s="39"/>
      <c r="AE11" s="38"/>
      <c r="AF11" s="38"/>
      <c r="AG11" s="37"/>
      <c r="AH11" s="36"/>
      <c r="AI11" s="36"/>
      <c r="AJ11" s="36"/>
      <c r="AK11" s="36"/>
      <c r="AL11" s="36"/>
      <c r="AM11" s="36"/>
      <c r="AN11" s="36"/>
      <c r="AO11" s="36"/>
      <c r="AP11" s="36"/>
    </row>
    <row r="12" spans="1:42" x14ac:dyDescent="0.2">
      <c r="A12" s="5">
        <v>11</v>
      </c>
      <c r="B12" s="5" t="s">
        <v>99</v>
      </c>
      <c r="C12" s="5">
        <v>1587</v>
      </c>
      <c r="D12" s="6" t="s">
        <v>7</v>
      </c>
      <c r="E12" s="52" t="s">
        <v>90</v>
      </c>
      <c r="F12" s="5">
        <v>0.19500000000000001</v>
      </c>
      <c r="G12" s="5" t="s">
        <v>27</v>
      </c>
      <c r="H12" s="5" t="s">
        <v>28</v>
      </c>
      <c r="I12" s="5" t="s">
        <v>38</v>
      </c>
      <c r="J12" s="5" t="s">
        <v>37</v>
      </c>
      <c r="K12" s="5" t="s">
        <v>108</v>
      </c>
      <c r="L12" s="5"/>
      <c r="P12" t="s">
        <v>129</v>
      </c>
      <c r="Q12" s="5">
        <v>3</v>
      </c>
      <c r="T12" s="11">
        <v>1.6738461538461535</v>
      </c>
      <c r="U12" s="11">
        <v>43.913846153846158</v>
      </c>
      <c r="W12" s="8">
        <v>15.719044470049568</v>
      </c>
      <c r="X12" s="39"/>
      <c r="Y12" s="40"/>
      <c r="Z12" s="39"/>
      <c r="AA12" s="39"/>
      <c r="AB12" s="39"/>
      <c r="AC12" s="39"/>
      <c r="AD12" s="39"/>
      <c r="AE12" s="38"/>
      <c r="AF12" s="38"/>
      <c r="AG12" s="37"/>
      <c r="AH12" s="36"/>
      <c r="AI12" s="36"/>
      <c r="AJ12" s="36"/>
      <c r="AK12" s="36"/>
      <c r="AL12" s="36"/>
      <c r="AM12" s="36"/>
      <c r="AN12" s="36"/>
      <c r="AO12" s="36"/>
      <c r="AP12" s="36"/>
    </row>
    <row r="13" spans="1:42" x14ac:dyDescent="0.2">
      <c r="A13">
        <v>12</v>
      </c>
      <c r="B13" s="5" t="s">
        <v>99</v>
      </c>
      <c r="C13">
        <v>1587</v>
      </c>
      <c r="D13" s="1" t="s">
        <v>8</v>
      </c>
      <c r="E13" s="52" t="s">
        <v>91</v>
      </c>
      <c r="F13">
        <v>0.42770000000000002</v>
      </c>
      <c r="G13" t="s">
        <v>27</v>
      </c>
      <c r="H13" t="s">
        <v>28</v>
      </c>
      <c r="I13" t="s">
        <v>38</v>
      </c>
      <c r="J13" t="s">
        <v>37</v>
      </c>
      <c r="K13" s="5" t="s">
        <v>108</v>
      </c>
      <c r="L13" s="5"/>
      <c r="P13" t="s">
        <v>129</v>
      </c>
      <c r="Q13">
        <v>3</v>
      </c>
      <c r="T13" s="11">
        <v>0.76876315174187515</v>
      </c>
      <c r="U13" s="11">
        <v>13.976151508066401</v>
      </c>
      <c r="W13" s="8">
        <v>0.69951834275536506</v>
      </c>
      <c r="X13" s="39"/>
      <c r="Y13" s="40"/>
      <c r="Z13" s="39"/>
      <c r="AA13" s="39"/>
      <c r="AB13" s="39"/>
      <c r="AC13" s="39"/>
      <c r="AD13" s="39"/>
      <c r="AE13" s="38"/>
      <c r="AF13" s="38"/>
      <c r="AG13" s="37"/>
      <c r="AH13" s="36"/>
      <c r="AI13" s="36"/>
      <c r="AJ13" s="36"/>
      <c r="AK13" s="36"/>
      <c r="AL13" s="36"/>
      <c r="AM13" s="36"/>
      <c r="AN13" s="36"/>
      <c r="AO13" s="36"/>
      <c r="AP13" s="36"/>
    </row>
    <row r="14" spans="1:42" x14ac:dyDescent="0.2">
      <c r="A14">
        <v>13</v>
      </c>
      <c r="B14" s="5" t="s">
        <v>99</v>
      </c>
      <c r="C14">
        <v>1587</v>
      </c>
      <c r="D14" s="1" t="s">
        <v>12</v>
      </c>
      <c r="E14" s="52" t="s">
        <v>85</v>
      </c>
      <c r="F14">
        <v>0.40799999999999997</v>
      </c>
      <c r="G14" t="s">
        <v>27</v>
      </c>
      <c r="H14" t="s">
        <v>28</v>
      </c>
      <c r="I14" t="s">
        <v>38</v>
      </c>
      <c r="J14" t="s">
        <v>37</v>
      </c>
      <c r="K14" s="5" t="s">
        <v>108</v>
      </c>
      <c r="L14" s="5"/>
      <c r="P14" t="s">
        <v>129</v>
      </c>
      <c r="Q14">
        <v>3</v>
      </c>
      <c r="T14" s="11">
        <v>1.7549019607843137</v>
      </c>
      <c r="U14" s="11">
        <v>27.79607843137255</v>
      </c>
      <c r="W14" s="8">
        <v>0.15159222987002038</v>
      </c>
      <c r="X14" s="39"/>
      <c r="Y14" s="40"/>
      <c r="Z14" s="39"/>
      <c r="AA14" s="39"/>
      <c r="AB14" s="39"/>
      <c r="AC14" s="39"/>
      <c r="AD14" s="39"/>
      <c r="AE14" s="38"/>
      <c r="AF14" s="38"/>
      <c r="AG14" s="37"/>
      <c r="AH14" s="36"/>
      <c r="AI14" s="36"/>
      <c r="AJ14" s="36"/>
      <c r="AK14" s="36"/>
      <c r="AL14" s="36"/>
      <c r="AM14" s="36"/>
      <c r="AN14" s="36"/>
      <c r="AO14" s="36"/>
      <c r="AP14" s="36"/>
    </row>
    <row r="15" spans="1:42" x14ac:dyDescent="0.2">
      <c r="A15" s="5">
        <v>14</v>
      </c>
      <c r="B15" s="5" t="s">
        <v>99</v>
      </c>
      <c r="C15" s="5">
        <v>1593</v>
      </c>
      <c r="D15" s="6" t="s">
        <v>15</v>
      </c>
      <c r="E15" s="52" t="s">
        <v>90</v>
      </c>
      <c r="F15" s="5">
        <v>0.44119999999999998</v>
      </c>
      <c r="G15" s="5" t="s">
        <v>27</v>
      </c>
      <c r="H15" s="5" t="s">
        <v>39</v>
      </c>
      <c r="I15" s="5" t="s">
        <v>30</v>
      </c>
      <c r="J15" s="5" t="s">
        <v>37</v>
      </c>
      <c r="K15" s="5" t="s">
        <v>108</v>
      </c>
      <c r="L15" s="5"/>
      <c r="P15" t="s">
        <v>129</v>
      </c>
      <c r="Q15" s="5">
        <v>3</v>
      </c>
      <c r="T15" s="11">
        <v>0.62466001813236627</v>
      </c>
      <c r="U15" s="11">
        <v>5.5847688123300099</v>
      </c>
      <c r="W15" s="8">
        <v>19.877750042012991</v>
      </c>
      <c r="Y15" s="35"/>
      <c r="AG15" s="34"/>
      <c r="AH15" s="33"/>
      <c r="AI15" s="33"/>
      <c r="AJ15" s="33"/>
      <c r="AK15" s="33"/>
      <c r="AL15" s="33"/>
      <c r="AM15" s="33"/>
      <c r="AN15" s="33"/>
      <c r="AO15" s="33"/>
      <c r="AP15" s="33"/>
    </row>
    <row r="16" spans="1:42" x14ac:dyDescent="0.2">
      <c r="A16">
        <v>15</v>
      </c>
      <c r="B16" s="5" t="s">
        <v>99</v>
      </c>
      <c r="C16">
        <v>1593</v>
      </c>
      <c r="D16" s="1" t="s">
        <v>14</v>
      </c>
      <c r="E16" s="52" t="s">
        <v>85</v>
      </c>
      <c r="F16">
        <v>0.53600000000000003</v>
      </c>
      <c r="G16" t="s">
        <v>27</v>
      </c>
      <c r="H16" t="s">
        <v>39</v>
      </c>
      <c r="I16" t="s">
        <v>30</v>
      </c>
      <c r="J16" t="s">
        <v>37</v>
      </c>
      <c r="K16" s="5" t="s">
        <v>108</v>
      </c>
      <c r="L16" s="5"/>
      <c r="P16" t="s">
        <v>129</v>
      </c>
      <c r="Q16">
        <v>3</v>
      </c>
      <c r="T16" s="11">
        <v>0</v>
      </c>
      <c r="U16" s="11">
        <v>5.4686567164179092</v>
      </c>
      <c r="W16" s="8">
        <v>0.50467685270240881</v>
      </c>
      <c r="X16" s="39"/>
      <c r="Y16" s="40"/>
      <c r="Z16" s="39"/>
      <c r="AA16" s="39"/>
      <c r="AB16" s="39"/>
      <c r="AC16" s="39"/>
      <c r="AD16" s="39"/>
      <c r="AE16" s="38"/>
      <c r="AF16" s="38"/>
      <c r="AG16" s="37"/>
      <c r="AH16" s="36"/>
      <c r="AI16" s="36"/>
      <c r="AJ16" s="36"/>
      <c r="AK16" s="36"/>
      <c r="AL16" s="36"/>
      <c r="AM16" s="36"/>
      <c r="AN16" s="36"/>
      <c r="AO16" s="36"/>
      <c r="AP16" s="36"/>
    </row>
    <row r="17" spans="1:42" x14ac:dyDescent="0.2">
      <c r="A17" s="5">
        <v>16</v>
      </c>
      <c r="B17" s="5" t="s">
        <v>99</v>
      </c>
      <c r="C17" s="5">
        <v>1652</v>
      </c>
      <c r="D17" s="6" t="s">
        <v>7</v>
      </c>
      <c r="E17" s="52" t="s">
        <v>90</v>
      </c>
      <c r="F17" s="5">
        <v>0.35799999999999998</v>
      </c>
      <c r="G17" s="5" t="s">
        <v>27</v>
      </c>
      <c r="H17" s="5" t="s">
        <v>36</v>
      </c>
      <c r="I17" s="5" t="s">
        <v>34</v>
      </c>
      <c r="J17" s="5" t="s">
        <v>31</v>
      </c>
      <c r="K17" s="5" t="s">
        <v>108</v>
      </c>
      <c r="L17" s="5"/>
      <c r="P17" t="s">
        <v>129</v>
      </c>
      <c r="Q17" s="5">
        <v>4</v>
      </c>
      <c r="R17">
        <v>5.8044692737430168</v>
      </c>
      <c r="T17" s="11">
        <v>0</v>
      </c>
      <c r="U17" s="11">
        <v>3.99731843575419</v>
      </c>
      <c r="W17" s="39"/>
      <c r="X17" s="39"/>
      <c r="Y17" s="40"/>
      <c r="Z17" s="39"/>
      <c r="AA17" s="39"/>
      <c r="AB17" s="39"/>
      <c r="AC17" s="39"/>
      <c r="AD17" s="39"/>
      <c r="AE17" s="38"/>
      <c r="AF17" s="38"/>
      <c r="AG17" s="37"/>
      <c r="AH17" s="36"/>
      <c r="AI17" s="36"/>
      <c r="AJ17" s="36"/>
      <c r="AK17" s="36"/>
      <c r="AL17" s="36"/>
      <c r="AM17" s="36"/>
      <c r="AN17" s="36"/>
      <c r="AO17" s="36"/>
      <c r="AP17" s="36"/>
    </row>
    <row r="18" spans="1:42" x14ac:dyDescent="0.2">
      <c r="A18">
        <v>17</v>
      </c>
      <c r="B18" s="5" t="s">
        <v>99</v>
      </c>
      <c r="C18">
        <v>1652</v>
      </c>
      <c r="D18" s="1" t="s">
        <v>8</v>
      </c>
      <c r="E18" s="52" t="s">
        <v>91</v>
      </c>
      <c r="F18">
        <v>0.45610000000000001</v>
      </c>
      <c r="G18" t="s">
        <v>27</v>
      </c>
      <c r="H18" t="s">
        <v>36</v>
      </c>
      <c r="I18" t="s">
        <v>34</v>
      </c>
      <c r="J18" t="s">
        <v>31</v>
      </c>
      <c r="K18" s="5" t="s">
        <v>108</v>
      </c>
      <c r="L18" s="5"/>
      <c r="P18" t="s">
        <v>129</v>
      </c>
      <c r="Q18">
        <v>4</v>
      </c>
      <c r="R18">
        <v>2.4412628809471606</v>
      </c>
      <c r="T18" s="11">
        <v>0</v>
      </c>
      <c r="U18" s="11">
        <v>0</v>
      </c>
      <c r="Y18" s="35"/>
      <c r="AG18" s="34"/>
      <c r="AH18" s="33"/>
      <c r="AI18" s="33"/>
      <c r="AJ18" s="33"/>
      <c r="AK18" s="33"/>
      <c r="AL18" s="33"/>
      <c r="AM18" s="33"/>
      <c r="AN18" s="33"/>
      <c r="AO18" s="33"/>
      <c r="AP18" s="33"/>
    </row>
    <row r="19" spans="1:42" x14ac:dyDescent="0.2">
      <c r="A19">
        <v>18</v>
      </c>
      <c r="B19" s="5" t="s">
        <v>99</v>
      </c>
      <c r="C19">
        <v>1652</v>
      </c>
      <c r="D19" s="1" t="s">
        <v>12</v>
      </c>
      <c r="E19" s="52" t="s">
        <v>85</v>
      </c>
      <c r="F19">
        <v>0.38479999999999998</v>
      </c>
      <c r="G19" t="s">
        <v>27</v>
      </c>
      <c r="H19" t="s">
        <v>36</v>
      </c>
      <c r="I19" t="s">
        <v>34</v>
      </c>
      <c r="J19" t="s">
        <v>31</v>
      </c>
      <c r="K19" s="5" t="s">
        <v>108</v>
      </c>
      <c r="L19" s="5"/>
      <c r="P19" t="s">
        <v>129</v>
      </c>
      <c r="Q19">
        <v>4</v>
      </c>
      <c r="R19">
        <v>3.2748440748440752</v>
      </c>
      <c r="T19" s="11">
        <v>0</v>
      </c>
      <c r="U19" s="11">
        <v>1.3604989604989606</v>
      </c>
    </row>
    <row r="20" spans="1:42" x14ac:dyDescent="0.2">
      <c r="A20" s="5">
        <v>19</v>
      </c>
      <c r="B20" s="5" t="s">
        <v>70</v>
      </c>
      <c r="C20" s="5">
        <v>180413</v>
      </c>
      <c r="D20" s="6" t="s">
        <v>17</v>
      </c>
      <c r="E20" s="52" t="s">
        <v>90</v>
      </c>
      <c r="F20" s="5">
        <v>0.27729999999999999</v>
      </c>
      <c r="G20" s="5" t="s">
        <v>40</v>
      </c>
      <c r="H20" s="5" t="s">
        <v>28</v>
      </c>
      <c r="I20" s="5" t="s">
        <v>30</v>
      </c>
      <c r="J20" s="5" t="s">
        <v>41</v>
      </c>
      <c r="K20" s="5" t="s">
        <v>108</v>
      </c>
      <c r="L20" s="5"/>
      <c r="P20" t="s">
        <v>129</v>
      </c>
      <c r="Q20" s="5">
        <v>3.5</v>
      </c>
      <c r="T20" s="11">
        <v>0</v>
      </c>
      <c r="U20" s="11">
        <v>0.68315903353768492</v>
      </c>
      <c r="W20" s="8">
        <v>59.328913547657763</v>
      </c>
    </row>
    <row r="21" spans="1:42" x14ac:dyDescent="0.2">
      <c r="A21">
        <v>20</v>
      </c>
      <c r="B21" s="5" t="s">
        <v>70</v>
      </c>
      <c r="C21">
        <v>180413</v>
      </c>
      <c r="D21" s="1" t="s">
        <v>13</v>
      </c>
      <c r="E21" s="52" t="s">
        <v>85</v>
      </c>
      <c r="F21">
        <v>0.25629999999999997</v>
      </c>
      <c r="G21" t="s">
        <v>40</v>
      </c>
      <c r="H21" t="s">
        <v>28</v>
      </c>
      <c r="I21" t="s">
        <v>30</v>
      </c>
      <c r="J21" t="s">
        <v>41</v>
      </c>
      <c r="K21" s="5" t="s">
        <v>108</v>
      </c>
      <c r="L21" s="5"/>
      <c r="P21" t="s">
        <v>129</v>
      </c>
      <c r="Q21">
        <v>3.5</v>
      </c>
      <c r="T21" s="11">
        <v>0</v>
      </c>
      <c r="U21" s="11">
        <v>0.47444401092469762</v>
      </c>
      <c r="W21" s="8">
        <v>34.314326195020236</v>
      </c>
    </row>
    <row r="22" spans="1:42" x14ac:dyDescent="0.2">
      <c r="A22" s="5">
        <v>21</v>
      </c>
      <c r="B22" s="5" t="s">
        <v>99</v>
      </c>
      <c r="C22" s="5">
        <v>1665</v>
      </c>
      <c r="D22" s="7" t="s">
        <v>7</v>
      </c>
      <c r="E22" s="52" t="s">
        <v>90</v>
      </c>
      <c r="F22" s="5">
        <v>0.24590000000000001</v>
      </c>
      <c r="G22" s="5" t="s">
        <v>27</v>
      </c>
      <c r="H22" s="5" t="s">
        <v>36</v>
      </c>
      <c r="I22" s="5" t="s">
        <v>38</v>
      </c>
      <c r="J22" s="5" t="s">
        <v>37</v>
      </c>
      <c r="K22" s="5" t="s">
        <v>108</v>
      </c>
      <c r="L22" s="5"/>
      <c r="P22" t="s">
        <v>129</v>
      </c>
      <c r="Q22" s="5">
        <v>2</v>
      </c>
      <c r="T22" s="11">
        <v>0</v>
      </c>
      <c r="U22" s="11">
        <v>14.184627897519317</v>
      </c>
      <c r="W22" s="8">
        <v>60.419147773573435</v>
      </c>
    </row>
    <row r="23" spans="1:42" x14ac:dyDescent="0.2">
      <c r="A23">
        <v>22</v>
      </c>
      <c r="B23" s="5" t="s">
        <v>99</v>
      </c>
      <c r="C23">
        <v>1665</v>
      </c>
      <c r="D23" s="2" t="s">
        <v>8</v>
      </c>
      <c r="E23" s="52" t="s">
        <v>91</v>
      </c>
      <c r="F23">
        <v>0.26050000000000001</v>
      </c>
      <c r="G23" t="s">
        <v>27</v>
      </c>
      <c r="H23" t="s">
        <v>36</v>
      </c>
      <c r="I23" t="s">
        <v>38</v>
      </c>
      <c r="J23" t="s">
        <v>37</v>
      </c>
      <c r="K23" s="5" t="s">
        <v>108</v>
      </c>
      <c r="L23" s="5"/>
      <c r="P23" t="s">
        <v>129</v>
      </c>
      <c r="Q23">
        <v>2</v>
      </c>
      <c r="T23" s="11">
        <v>0</v>
      </c>
      <c r="U23" s="11">
        <v>23.24145873320537</v>
      </c>
      <c r="W23" s="16">
        <v>53.95547881535235</v>
      </c>
    </row>
    <row r="24" spans="1:42" x14ac:dyDescent="0.2">
      <c r="A24">
        <v>23</v>
      </c>
      <c r="B24" s="5" t="s">
        <v>99</v>
      </c>
      <c r="C24">
        <v>1665</v>
      </c>
      <c r="D24" s="2" t="s">
        <v>13</v>
      </c>
      <c r="E24" s="52" t="s">
        <v>85</v>
      </c>
      <c r="F24">
        <v>0.29670000000000002</v>
      </c>
      <c r="G24" t="s">
        <v>27</v>
      </c>
      <c r="H24" t="s">
        <v>36</v>
      </c>
      <c r="I24" t="s">
        <v>38</v>
      </c>
      <c r="J24" t="s">
        <v>37</v>
      </c>
      <c r="K24" s="5" t="s">
        <v>108</v>
      </c>
      <c r="L24" s="5"/>
      <c r="P24" t="s">
        <v>129</v>
      </c>
      <c r="Q24">
        <v>2</v>
      </c>
      <c r="T24" s="11">
        <v>0</v>
      </c>
      <c r="U24" s="11">
        <v>0</v>
      </c>
      <c r="W24" s="16">
        <v>28.172262137594092</v>
      </c>
    </row>
    <row r="25" spans="1:42" x14ac:dyDescent="0.2">
      <c r="A25" s="5">
        <v>24</v>
      </c>
      <c r="B25" s="5" t="s">
        <v>100</v>
      </c>
      <c r="C25" s="5">
        <v>2017030</v>
      </c>
      <c r="D25" s="6" t="s">
        <v>19</v>
      </c>
      <c r="E25" s="52" t="s">
        <v>90</v>
      </c>
      <c r="F25" s="5">
        <v>0.22620000000000001</v>
      </c>
      <c r="G25" s="5" t="s">
        <v>40</v>
      </c>
      <c r="H25" s="5" t="s">
        <v>42</v>
      </c>
      <c r="I25" s="5" t="s">
        <v>43</v>
      </c>
      <c r="J25" s="5" t="s">
        <v>41</v>
      </c>
      <c r="K25" s="5" t="s">
        <v>108</v>
      </c>
      <c r="L25" s="5"/>
      <c r="P25" t="s">
        <v>129</v>
      </c>
      <c r="Q25" s="5">
        <v>3</v>
      </c>
      <c r="T25" s="11">
        <v>2.8877099911582671</v>
      </c>
      <c r="U25" s="11">
        <v>3.1462422634836424</v>
      </c>
      <c r="W25" s="8">
        <v>34.507313282660938</v>
      </c>
    </row>
    <row r="26" spans="1:42" x14ac:dyDescent="0.2">
      <c r="A26">
        <v>25</v>
      </c>
      <c r="B26" s="5" t="s">
        <v>100</v>
      </c>
      <c r="C26">
        <v>2017030</v>
      </c>
      <c r="D26" s="1" t="s">
        <v>20</v>
      </c>
      <c r="E26" s="52" t="s">
        <v>91</v>
      </c>
      <c r="F26">
        <v>0.12939999999999999</v>
      </c>
      <c r="G26" t="s">
        <v>40</v>
      </c>
      <c r="H26" t="s">
        <v>42</v>
      </c>
      <c r="I26" t="s">
        <v>43</v>
      </c>
      <c r="J26" t="s">
        <v>41</v>
      </c>
      <c r="K26" s="5" t="s">
        <v>108</v>
      </c>
      <c r="L26" s="5"/>
      <c r="P26" t="s">
        <v>129</v>
      </c>
      <c r="Q26">
        <v>3</v>
      </c>
      <c r="T26" s="11">
        <v>0</v>
      </c>
      <c r="U26" s="11">
        <v>4.0358578052550236</v>
      </c>
      <c r="W26" s="8">
        <v>73.406313038025388</v>
      </c>
    </row>
    <row r="27" spans="1:42" x14ac:dyDescent="0.2">
      <c r="A27" s="5">
        <v>26</v>
      </c>
      <c r="B27" s="5" t="s">
        <v>99</v>
      </c>
      <c r="C27" s="5">
        <v>1585</v>
      </c>
      <c r="D27" s="6" t="s">
        <v>7</v>
      </c>
      <c r="E27" s="52" t="s">
        <v>90</v>
      </c>
      <c r="F27" s="5">
        <v>0.23</v>
      </c>
      <c r="G27" s="5" t="s">
        <v>27</v>
      </c>
      <c r="H27" s="5" t="s">
        <v>44</v>
      </c>
      <c r="I27" s="5" t="s">
        <v>34</v>
      </c>
      <c r="J27" s="5" t="s">
        <v>31</v>
      </c>
      <c r="K27" s="5" t="s">
        <v>108</v>
      </c>
      <c r="L27" s="5"/>
      <c r="P27" t="s">
        <v>129</v>
      </c>
      <c r="Q27" s="5">
        <v>2.5</v>
      </c>
      <c r="R27">
        <v>8.7443478260869565</v>
      </c>
      <c r="T27" s="11">
        <v>0</v>
      </c>
      <c r="U27" s="11">
        <v>0</v>
      </c>
    </row>
    <row r="28" spans="1:42" x14ac:dyDescent="0.2">
      <c r="A28">
        <v>27</v>
      </c>
      <c r="B28" s="5" t="s">
        <v>99</v>
      </c>
      <c r="C28">
        <v>1585</v>
      </c>
      <c r="D28" s="1" t="s">
        <v>8</v>
      </c>
      <c r="E28" s="52" t="s">
        <v>91</v>
      </c>
      <c r="F28">
        <v>0.22170000000000001</v>
      </c>
      <c r="G28" t="s">
        <v>27</v>
      </c>
      <c r="H28" t="s">
        <v>44</v>
      </c>
      <c r="I28" t="s">
        <v>34</v>
      </c>
      <c r="J28" t="s">
        <v>31</v>
      </c>
      <c r="K28" s="5" t="s">
        <v>108</v>
      </c>
      <c r="L28" s="5"/>
      <c r="P28" t="s">
        <v>129</v>
      </c>
      <c r="Q28" s="5">
        <v>2.5</v>
      </c>
      <c r="R28">
        <v>4.5970230040595395</v>
      </c>
      <c r="T28" s="11">
        <v>0</v>
      </c>
      <c r="U28" s="11">
        <v>28.348218313035634</v>
      </c>
    </row>
    <row r="29" spans="1:42" x14ac:dyDescent="0.2">
      <c r="A29">
        <v>28</v>
      </c>
      <c r="B29" s="5" t="s">
        <v>99</v>
      </c>
      <c r="C29">
        <v>1585</v>
      </c>
      <c r="D29" s="1" t="s">
        <v>21</v>
      </c>
      <c r="E29" s="52" t="s">
        <v>85</v>
      </c>
      <c r="F29">
        <v>0.29730000000000001</v>
      </c>
      <c r="G29" t="s">
        <v>27</v>
      </c>
      <c r="H29" t="s">
        <v>44</v>
      </c>
      <c r="I29" t="s">
        <v>34</v>
      </c>
      <c r="J29" t="s">
        <v>31</v>
      </c>
      <c r="K29" s="5" t="s">
        <v>108</v>
      </c>
      <c r="L29" s="5"/>
      <c r="P29" t="s">
        <v>129</v>
      </c>
      <c r="Q29">
        <v>2.5</v>
      </c>
      <c r="R29">
        <v>2.6302051799529096</v>
      </c>
      <c r="T29" s="11">
        <v>0</v>
      </c>
      <c r="U29" s="11">
        <v>18.285099226370669</v>
      </c>
    </row>
    <row r="30" spans="1:42" x14ac:dyDescent="0.2">
      <c r="A30" s="5">
        <v>29</v>
      </c>
      <c r="B30" s="5" t="s">
        <v>99</v>
      </c>
      <c r="C30" s="5">
        <v>1524</v>
      </c>
      <c r="D30" s="7" t="s">
        <v>7</v>
      </c>
      <c r="E30" s="52" t="s">
        <v>90</v>
      </c>
      <c r="F30" s="5">
        <v>0.32600000000000001</v>
      </c>
      <c r="G30" s="5" t="s">
        <v>27</v>
      </c>
      <c r="H30" s="5" t="s">
        <v>36</v>
      </c>
      <c r="I30" s="5" t="s">
        <v>38</v>
      </c>
      <c r="J30" s="5" t="s">
        <v>37</v>
      </c>
      <c r="K30" s="5" t="s">
        <v>108</v>
      </c>
      <c r="L30" s="5"/>
      <c r="P30" t="s">
        <v>129</v>
      </c>
      <c r="Q30" s="5">
        <v>2.5</v>
      </c>
      <c r="T30" s="11">
        <v>1.5030674846625767</v>
      </c>
      <c r="U30" s="11">
        <v>16.176687116564416</v>
      </c>
    </row>
    <row r="31" spans="1:42" x14ac:dyDescent="0.2">
      <c r="A31">
        <v>30</v>
      </c>
      <c r="B31" s="5" t="s">
        <v>99</v>
      </c>
      <c r="C31">
        <v>1524</v>
      </c>
      <c r="D31" s="2" t="s">
        <v>8</v>
      </c>
      <c r="E31" s="52" t="s">
        <v>91</v>
      </c>
      <c r="F31">
        <v>0.23130000000000001</v>
      </c>
      <c r="G31" t="s">
        <v>27</v>
      </c>
      <c r="H31" t="s">
        <v>36</v>
      </c>
      <c r="I31" t="s">
        <v>38</v>
      </c>
      <c r="J31" t="s">
        <v>37</v>
      </c>
      <c r="K31" s="5" t="s">
        <v>108</v>
      </c>
      <c r="L31" s="5"/>
      <c r="P31" t="s">
        <v>129</v>
      </c>
      <c r="Q31">
        <v>2.5</v>
      </c>
      <c r="T31" s="11">
        <v>1.5226977950713358</v>
      </c>
      <c r="U31" s="11">
        <v>0</v>
      </c>
    </row>
    <row r="32" spans="1:42" x14ac:dyDescent="0.2">
      <c r="A32">
        <v>31</v>
      </c>
      <c r="B32" s="5" t="s">
        <v>99</v>
      </c>
      <c r="C32">
        <v>1524</v>
      </c>
      <c r="D32" s="2" t="s">
        <v>12</v>
      </c>
      <c r="E32" s="52" t="s">
        <v>85</v>
      </c>
      <c r="F32">
        <v>0.2515</v>
      </c>
      <c r="G32" t="s">
        <v>27</v>
      </c>
      <c r="H32" t="s">
        <v>36</v>
      </c>
      <c r="I32" t="s">
        <v>38</v>
      </c>
      <c r="J32" t="s">
        <v>37</v>
      </c>
      <c r="K32" s="5" t="s">
        <v>108</v>
      </c>
      <c r="L32" s="5"/>
      <c r="P32" t="s">
        <v>129</v>
      </c>
      <c r="Q32">
        <v>2.5</v>
      </c>
      <c r="T32" s="11">
        <v>1.0159045725646123</v>
      </c>
      <c r="U32" s="11">
        <v>10.937256461232604</v>
      </c>
    </row>
    <row r="33" spans="1:27" x14ac:dyDescent="0.2">
      <c r="A33" s="5">
        <v>32</v>
      </c>
      <c r="B33" s="5" t="s">
        <v>100</v>
      </c>
      <c r="C33" s="5">
        <v>2011090</v>
      </c>
      <c r="D33" s="6" t="s">
        <v>19</v>
      </c>
      <c r="E33" s="52" t="s">
        <v>90</v>
      </c>
      <c r="F33" s="5">
        <v>0.3906</v>
      </c>
      <c r="G33" s="5" t="s">
        <v>40</v>
      </c>
      <c r="H33" s="5" t="s">
        <v>36</v>
      </c>
      <c r="I33" s="5" t="s">
        <v>38</v>
      </c>
      <c r="J33" s="5" t="s">
        <v>37</v>
      </c>
      <c r="K33" s="5" t="s">
        <v>108</v>
      </c>
      <c r="L33" s="5"/>
      <c r="P33" t="s">
        <v>129</v>
      </c>
      <c r="Q33" s="5">
        <v>2</v>
      </c>
      <c r="T33" s="11">
        <v>0</v>
      </c>
      <c r="U33" s="11">
        <v>16.450588837685611</v>
      </c>
      <c r="W33">
        <v>1.9</v>
      </c>
    </row>
    <row r="34" spans="1:27" x14ac:dyDescent="0.2">
      <c r="A34">
        <v>33</v>
      </c>
      <c r="B34" s="5" t="s">
        <v>100</v>
      </c>
      <c r="C34">
        <v>2011090</v>
      </c>
      <c r="D34" s="1" t="s">
        <v>11</v>
      </c>
      <c r="E34" s="52" t="s">
        <v>85</v>
      </c>
      <c r="F34">
        <v>0.28029999999999999</v>
      </c>
      <c r="G34" t="s">
        <v>40</v>
      </c>
      <c r="H34" t="s">
        <v>36</v>
      </c>
      <c r="I34" t="s">
        <v>38</v>
      </c>
      <c r="J34" t="s">
        <v>37</v>
      </c>
      <c r="K34" s="5" t="s">
        <v>108</v>
      </c>
      <c r="L34" s="5"/>
      <c r="P34" t="s">
        <v>129</v>
      </c>
      <c r="Q34">
        <v>2</v>
      </c>
      <c r="T34" s="11">
        <v>0</v>
      </c>
      <c r="U34" s="11">
        <v>10.429967891544774</v>
      </c>
      <c r="W34">
        <v>0.4</v>
      </c>
    </row>
    <row r="35" spans="1:27" x14ac:dyDescent="0.2">
      <c r="A35" s="5">
        <v>34</v>
      </c>
      <c r="B35" s="5" t="s">
        <v>99</v>
      </c>
      <c r="C35" s="5">
        <v>1035</v>
      </c>
      <c r="D35" s="7" t="s">
        <v>7</v>
      </c>
      <c r="E35" s="52" t="s">
        <v>90</v>
      </c>
      <c r="F35" s="5">
        <v>0.183</v>
      </c>
      <c r="G35" s="5" t="s">
        <v>40</v>
      </c>
      <c r="H35" s="5" t="s">
        <v>33</v>
      </c>
      <c r="I35" s="5" t="s">
        <v>34</v>
      </c>
      <c r="J35" s="5" t="s">
        <v>35</v>
      </c>
      <c r="K35" s="5" t="s">
        <v>108</v>
      </c>
      <c r="L35" s="5"/>
      <c r="P35" t="s">
        <v>129</v>
      </c>
      <c r="Q35" s="5">
        <v>2</v>
      </c>
      <c r="T35" s="11">
        <v>0.17923497267759561</v>
      </c>
      <c r="U35" s="11">
        <v>5.2598907103825132</v>
      </c>
      <c r="W35" s="8">
        <v>1.1909690931204175</v>
      </c>
      <c r="AA35" t="s">
        <v>179</v>
      </c>
    </row>
    <row r="36" spans="1:27" x14ac:dyDescent="0.2">
      <c r="A36">
        <v>35</v>
      </c>
      <c r="B36" s="5" t="s">
        <v>99</v>
      </c>
      <c r="C36">
        <v>1035</v>
      </c>
      <c r="D36" s="2" t="s">
        <v>8</v>
      </c>
      <c r="E36" s="52" t="s">
        <v>91</v>
      </c>
      <c r="F36">
        <v>0.26419999999999999</v>
      </c>
      <c r="G36" t="s">
        <v>40</v>
      </c>
      <c r="H36" t="s">
        <v>33</v>
      </c>
      <c r="I36" t="s">
        <v>34</v>
      </c>
      <c r="J36" t="s">
        <v>35</v>
      </c>
      <c r="K36" s="5" t="s">
        <v>108</v>
      </c>
      <c r="L36" s="5"/>
      <c r="P36" t="s">
        <v>129</v>
      </c>
      <c r="Q36">
        <v>2</v>
      </c>
      <c r="T36" s="11">
        <v>0.17108251324753976</v>
      </c>
      <c r="U36" s="11">
        <v>5.1209689629068889</v>
      </c>
      <c r="W36" s="8">
        <v>0.5</v>
      </c>
    </row>
    <row r="37" spans="1:27" x14ac:dyDescent="0.2">
      <c r="A37">
        <v>36</v>
      </c>
      <c r="B37" s="5" t="s">
        <v>99</v>
      </c>
      <c r="C37">
        <v>1035</v>
      </c>
      <c r="D37" s="2" t="s">
        <v>25</v>
      </c>
      <c r="E37" s="52" t="s">
        <v>85</v>
      </c>
      <c r="F37">
        <v>0.18490000000000001</v>
      </c>
      <c r="G37" t="s">
        <v>40</v>
      </c>
      <c r="H37" t="s">
        <v>33</v>
      </c>
      <c r="I37" t="s">
        <v>34</v>
      </c>
      <c r="J37" t="s">
        <v>35</v>
      </c>
      <c r="K37" s="5" t="s">
        <v>108</v>
      </c>
      <c r="L37" s="5"/>
      <c r="P37" t="s">
        <v>129</v>
      </c>
      <c r="Q37">
        <v>2</v>
      </c>
      <c r="T37" s="11">
        <v>0.13196322336398053</v>
      </c>
      <c r="U37" s="11">
        <v>4.0151433207138991</v>
      </c>
    </row>
    <row r="38" spans="1:27" x14ac:dyDescent="0.2">
      <c r="A38" s="5">
        <v>37</v>
      </c>
      <c r="B38" s="5" t="s">
        <v>99</v>
      </c>
      <c r="C38" s="5">
        <v>1650</v>
      </c>
      <c r="D38" s="6" t="s">
        <v>19</v>
      </c>
      <c r="E38" s="52" t="s">
        <v>90</v>
      </c>
      <c r="F38" s="5">
        <v>0.17979999999999999</v>
      </c>
      <c r="G38" s="5" t="s">
        <v>27</v>
      </c>
      <c r="H38" s="5" t="s">
        <v>36</v>
      </c>
      <c r="I38" s="5" t="s">
        <v>34</v>
      </c>
      <c r="J38" s="5" t="s">
        <v>31</v>
      </c>
      <c r="K38" s="5" t="s">
        <v>108</v>
      </c>
      <c r="L38" s="5"/>
      <c r="P38" t="s">
        <v>129</v>
      </c>
      <c r="Q38" s="5">
        <v>3</v>
      </c>
      <c r="T38" s="11">
        <v>0</v>
      </c>
      <c r="U38" s="11">
        <v>20.274972191323695</v>
      </c>
    </row>
    <row r="39" spans="1:27" x14ac:dyDescent="0.2">
      <c r="A39">
        <v>38</v>
      </c>
      <c r="B39" s="5" t="s">
        <v>99</v>
      </c>
      <c r="C39">
        <v>1650</v>
      </c>
      <c r="D39" s="1" t="s">
        <v>26</v>
      </c>
      <c r="E39" s="52" t="s">
        <v>85</v>
      </c>
      <c r="F39">
        <v>0.40079999999999999</v>
      </c>
      <c r="G39" t="s">
        <v>27</v>
      </c>
      <c r="H39" t="s">
        <v>36</v>
      </c>
      <c r="I39" t="s">
        <v>34</v>
      </c>
      <c r="J39" t="s">
        <v>31</v>
      </c>
      <c r="K39" s="5" t="s">
        <v>108</v>
      </c>
      <c r="L39" s="5"/>
      <c r="P39" t="s">
        <v>129</v>
      </c>
      <c r="T39" s="11">
        <v>0</v>
      </c>
    </row>
    <row r="40" spans="1:27" s="27" customFormat="1" x14ac:dyDescent="0.2">
      <c r="A40" s="27">
        <v>40</v>
      </c>
      <c r="B40" s="27" t="s">
        <v>99</v>
      </c>
      <c r="C40" s="27">
        <v>1149</v>
      </c>
      <c r="D40" s="30"/>
      <c r="E40" s="30"/>
      <c r="F40" s="27">
        <v>0.1072</v>
      </c>
      <c r="G40" s="27" t="s">
        <v>27</v>
      </c>
      <c r="H40" s="27" t="s">
        <v>33</v>
      </c>
      <c r="I40" s="27" t="s">
        <v>34</v>
      </c>
      <c r="J40" s="27" t="s">
        <v>35</v>
      </c>
      <c r="P40" t="s">
        <v>129</v>
      </c>
      <c r="R40" s="27" t="s">
        <v>110</v>
      </c>
      <c r="S40" s="27" t="s">
        <v>110</v>
      </c>
    </row>
    <row r="41" spans="1:27" s="27" customFormat="1" x14ac:dyDescent="0.2">
      <c r="A41" s="27">
        <v>41</v>
      </c>
      <c r="B41" s="27" t="s">
        <v>99</v>
      </c>
      <c r="C41" s="27">
        <v>1665</v>
      </c>
      <c r="D41" s="30" t="s">
        <v>8</v>
      </c>
      <c r="E41" s="30"/>
      <c r="F41" s="27">
        <v>0.1288</v>
      </c>
      <c r="G41" s="27" t="s">
        <v>27</v>
      </c>
      <c r="H41" s="27" t="s">
        <v>36</v>
      </c>
      <c r="I41" s="27" t="s">
        <v>38</v>
      </c>
      <c r="J41" s="27" t="s">
        <v>37</v>
      </c>
      <c r="M41" s="32"/>
      <c r="P41" t="s">
        <v>129</v>
      </c>
      <c r="R41" s="27" t="s">
        <v>110</v>
      </c>
      <c r="S41" s="27" t="s">
        <v>110</v>
      </c>
    </row>
    <row r="42" spans="1:27" s="27" customFormat="1" x14ac:dyDescent="0.2">
      <c r="A42" s="27">
        <v>42</v>
      </c>
      <c r="B42" s="27" t="s">
        <v>99</v>
      </c>
      <c r="C42" s="27">
        <v>1650</v>
      </c>
      <c r="D42" s="30" t="s">
        <v>26</v>
      </c>
      <c r="E42" s="30"/>
      <c r="F42" s="27">
        <v>0.1353</v>
      </c>
      <c r="G42" s="27" t="s">
        <v>27</v>
      </c>
      <c r="H42" s="27" t="s">
        <v>36</v>
      </c>
      <c r="I42" s="27" t="s">
        <v>34</v>
      </c>
      <c r="J42" s="27" t="s">
        <v>31</v>
      </c>
      <c r="P42" t="s">
        <v>129</v>
      </c>
      <c r="R42" s="27" t="s">
        <v>110</v>
      </c>
      <c r="S42" s="27" t="s">
        <v>110</v>
      </c>
    </row>
    <row r="43" spans="1:27" s="27" customFormat="1" x14ac:dyDescent="0.2">
      <c r="A43" s="27">
        <v>43</v>
      </c>
      <c r="B43" s="27" t="s">
        <v>99</v>
      </c>
      <c r="C43" s="27">
        <v>1035</v>
      </c>
      <c r="D43" s="30" t="s">
        <v>25</v>
      </c>
      <c r="E43" s="30"/>
      <c r="F43" s="27">
        <v>0.1298</v>
      </c>
      <c r="G43" s="27" t="s">
        <v>40</v>
      </c>
      <c r="H43" s="27" t="s">
        <v>33</v>
      </c>
      <c r="I43" s="27" t="s">
        <v>34</v>
      </c>
      <c r="J43" s="27" t="s">
        <v>35</v>
      </c>
      <c r="M43" s="31"/>
      <c r="N43" s="31"/>
      <c r="O43" s="31"/>
      <c r="P43" t="s">
        <v>129</v>
      </c>
      <c r="Q43" s="31"/>
      <c r="R43" s="27" t="s">
        <v>110</v>
      </c>
      <c r="S43" s="27" t="s">
        <v>110</v>
      </c>
      <c r="T43" s="31"/>
      <c r="U43" s="31"/>
      <c r="V43" s="31"/>
      <c r="W43" s="31"/>
    </row>
    <row r="44" spans="1:27" s="27" customFormat="1" x14ac:dyDescent="0.2">
      <c r="A44" s="27">
        <v>44</v>
      </c>
      <c r="B44" s="27" t="s">
        <v>70</v>
      </c>
      <c r="C44" s="27">
        <v>180413</v>
      </c>
      <c r="D44" s="30"/>
      <c r="E44" s="30"/>
      <c r="F44" s="27">
        <v>9.2200000000000004E-2</v>
      </c>
      <c r="G44" s="27" t="s">
        <v>40</v>
      </c>
      <c r="M44" s="29"/>
      <c r="N44" s="29"/>
      <c r="O44" s="28"/>
      <c r="P44" t="s">
        <v>129</v>
      </c>
      <c r="Q44" s="28"/>
      <c r="R44" s="27" t="s">
        <v>110</v>
      </c>
      <c r="S44" s="27" t="s">
        <v>110</v>
      </c>
      <c r="T44" s="28"/>
      <c r="U44" s="28"/>
      <c r="V44" s="28"/>
      <c r="W44" s="28"/>
    </row>
    <row r="45" spans="1:27" s="27" customFormat="1" x14ac:dyDescent="0.2">
      <c r="A45" s="27">
        <v>45</v>
      </c>
      <c r="B45" s="27" t="s">
        <v>100</v>
      </c>
      <c r="C45" s="27">
        <v>2011090</v>
      </c>
      <c r="D45" s="30"/>
      <c r="E45" s="30"/>
      <c r="F45" s="27">
        <v>0.1497</v>
      </c>
      <c r="G45" s="27" t="s">
        <v>40</v>
      </c>
      <c r="M45" s="29"/>
      <c r="N45" s="29"/>
      <c r="O45" s="28"/>
      <c r="P45" t="s">
        <v>129</v>
      </c>
      <c r="Q45" s="28"/>
      <c r="R45" s="27" t="s">
        <v>110</v>
      </c>
      <c r="S45" s="27" t="s">
        <v>110</v>
      </c>
      <c r="T45" s="28"/>
      <c r="U45" s="28"/>
      <c r="V45" s="28"/>
      <c r="W45" s="28"/>
    </row>
    <row r="46" spans="1:27" s="23" customFormat="1" x14ac:dyDescent="0.2">
      <c r="A46" s="25">
        <v>51</v>
      </c>
      <c r="B46" s="23" t="s">
        <v>99</v>
      </c>
      <c r="C46" s="25">
        <v>1429</v>
      </c>
      <c r="D46" s="23" t="s">
        <v>90</v>
      </c>
      <c r="E46" s="23" t="s">
        <v>90</v>
      </c>
      <c r="F46" s="25">
        <v>0.15770000000000001</v>
      </c>
      <c r="G46" s="25" t="s">
        <v>27</v>
      </c>
      <c r="H46" s="23" t="s">
        <v>28</v>
      </c>
      <c r="I46" s="23" t="s">
        <v>30</v>
      </c>
      <c r="J46" s="23" t="s">
        <v>31</v>
      </c>
      <c r="M46" s="26"/>
      <c r="N46" s="26"/>
      <c r="O46" s="24"/>
      <c r="P46" t="s">
        <v>129</v>
      </c>
      <c r="Q46" s="24"/>
      <c r="R46" s="24" t="s">
        <v>78</v>
      </c>
      <c r="S46" s="24" t="s">
        <v>78</v>
      </c>
      <c r="T46" s="24"/>
      <c r="U46" s="57">
        <v>6.4303107165504114</v>
      </c>
      <c r="V46" s="57">
        <v>0.81344324667089407</v>
      </c>
      <c r="W46" s="24"/>
    </row>
    <row r="47" spans="1:27" s="23" customFormat="1" x14ac:dyDescent="0.2">
      <c r="A47" s="25">
        <v>52</v>
      </c>
      <c r="B47" s="23" t="s">
        <v>99</v>
      </c>
      <c r="C47" s="25">
        <v>1587</v>
      </c>
      <c r="D47" s="23" t="s">
        <v>90</v>
      </c>
      <c r="E47" s="23" t="s">
        <v>90</v>
      </c>
      <c r="F47" s="25">
        <v>0.22040000000000001</v>
      </c>
      <c r="G47" s="25" t="s">
        <v>27</v>
      </c>
      <c r="H47" s="23" t="s">
        <v>28</v>
      </c>
      <c r="I47" s="23" t="s">
        <v>38</v>
      </c>
      <c r="J47" s="23" t="s">
        <v>37</v>
      </c>
      <c r="M47" s="26"/>
      <c r="N47" s="26"/>
      <c r="O47" s="24"/>
      <c r="P47" t="s">
        <v>129</v>
      </c>
      <c r="Q47" s="24"/>
      <c r="R47" s="24" t="s">
        <v>78</v>
      </c>
      <c r="S47" s="24" t="s">
        <v>78</v>
      </c>
      <c r="T47" s="24"/>
      <c r="U47" s="57">
        <v>31.831215970961885</v>
      </c>
      <c r="V47" s="57">
        <v>0.4114791288566243</v>
      </c>
      <c r="W47" s="24"/>
    </row>
    <row r="48" spans="1:27" s="23" customFormat="1" x14ac:dyDescent="0.2">
      <c r="A48" s="25">
        <v>53</v>
      </c>
      <c r="B48" s="23" t="s">
        <v>99</v>
      </c>
      <c r="C48" s="25">
        <v>1650</v>
      </c>
      <c r="D48" s="23" t="s">
        <v>90</v>
      </c>
      <c r="E48" s="23" t="s">
        <v>90</v>
      </c>
      <c r="F48" s="25">
        <v>0.22020000000000001</v>
      </c>
      <c r="G48" s="25" t="s">
        <v>27</v>
      </c>
      <c r="H48" s="23" t="s">
        <v>36</v>
      </c>
      <c r="I48" s="23" t="s">
        <v>34</v>
      </c>
      <c r="J48" s="23" t="s">
        <v>31</v>
      </c>
      <c r="M48" s="26"/>
      <c r="N48" s="26"/>
      <c r="O48" s="24"/>
      <c r="P48" t="s">
        <v>129</v>
      </c>
      <c r="Q48" s="24"/>
      <c r="R48" s="24" t="s">
        <v>78</v>
      </c>
      <c r="S48" s="24" t="s">
        <v>78</v>
      </c>
      <c r="T48" s="24"/>
      <c r="U48" s="57">
        <v>22.111716621253407</v>
      </c>
      <c r="V48" s="57">
        <v>8.5059037238873758E-2</v>
      </c>
      <c r="W48" s="24"/>
    </row>
    <row r="49" spans="1:23" s="23" customFormat="1" x14ac:dyDescent="0.2">
      <c r="A49" s="25">
        <v>54</v>
      </c>
      <c r="B49" s="23" t="s">
        <v>99</v>
      </c>
      <c r="C49" s="25">
        <v>1524</v>
      </c>
      <c r="D49" s="23" t="s">
        <v>90</v>
      </c>
      <c r="E49" s="23" t="s">
        <v>90</v>
      </c>
      <c r="F49" s="25">
        <v>0.1754</v>
      </c>
      <c r="G49" s="25" t="s">
        <v>27</v>
      </c>
      <c r="H49" s="23" t="s">
        <v>36</v>
      </c>
      <c r="I49" s="23" t="s">
        <v>38</v>
      </c>
      <c r="J49" s="23" t="s">
        <v>37</v>
      </c>
      <c r="M49" s="26"/>
      <c r="N49" s="26"/>
      <c r="O49" s="24"/>
      <c r="P49" t="s">
        <v>129</v>
      </c>
      <c r="Q49" s="24"/>
      <c r="R49" s="24" t="s">
        <v>78</v>
      </c>
      <c r="S49" s="24" t="s">
        <v>78</v>
      </c>
      <c r="T49" s="24"/>
      <c r="U49" s="57">
        <v>34.70581527936146</v>
      </c>
      <c r="V49" s="57">
        <v>9.8745724059293036E-2</v>
      </c>
      <c r="W49" s="24"/>
    </row>
    <row r="50" spans="1:23" s="23" customFormat="1" x14ac:dyDescent="0.2">
      <c r="A50" s="25">
        <v>55</v>
      </c>
      <c r="B50" s="23" t="s">
        <v>99</v>
      </c>
      <c r="C50" s="25">
        <v>1665</v>
      </c>
      <c r="D50" s="23" t="s">
        <v>90</v>
      </c>
      <c r="E50" s="23" t="s">
        <v>90</v>
      </c>
      <c r="F50" s="25">
        <v>0.13700000000000001</v>
      </c>
      <c r="G50" s="25" t="s">
        <v>27</v>
      </c>
      <c r="H50" s="23" t="s">
        <v>36</v>
      </c>
      <c r="I50" s="23" t="s">
        <v>38</v>
      </c>
      <c r="J50" s="23" t="s">
        <v>37</v>
      </c>
      <c r="M50" s="26"/>
      <c r="N50" s="26"/>
      <c r="O50" s="24"/>
      <c r="P50" t="s">
        <v>129</v>
      </c>
      <c r="Q50" s="24"/>
      <c r="R50" s="24" t="s">
        <v>78</v>
      </c>
      <c r="S50" s="24" t="s">
        <v>78</v>
      </c>
      <c r="T50" s="24"/>
      <c r="U50" s="57"/>
      <c r="V50" s="57">
        <v>0</v>
      </c>
      <c r="W50" s="24"/>
    </row>
    <row r="51" spans="1:23" s="23" customFormat="1" x14ac:dyDescent="0.2">
      <c r="A51" s="25">
        <v>56</v>
      </c>
      <c r="B51" s="23" t="s">
        <v>99</v>
      </c>
      <c r="C51" s="25">
        <v>1149</v>
      </c>
      <c r="D51" s="23" t="s">
        <v>90</v>
      </c>
      <c r="E51" s="23" t="s">
        <v>90</v>
      </c>
      <c r="F51" s="25">
        <v>0.19539999999999999</v>
      </c>
      <c r="G51" s="25" t="s">
        <v>27</v>
      </c>
      <c r="H51" s="23" t="s">
        <v>33</v>
      </c>
      <c r="I51" s="23" t="s">
        <v>34</v>
      </c>
      <c r="J51" s="23" t="s">
        <v>35</v>
      </c>
      <c r="M51" s="26"/>
      <c r="N51" s="26"/>
      <c r="O51" s="24"/>
      <c r="P51" t="s">
        <v>129</v>
      </c>
      <c r="Q51" s="24"/>
      <c r="R51" s="24" t="s">
        <v>78</v>
      </c>
      <c r="S51" s="24" t="s">
        <v>78</v>
      </c>
      <c r="T51" s="24">
        <v>0.99</v>
      </c>
      <c r="U51" s="57">
        <v>8.245649948822928</v>
      </c>
      <c r="V51" s="57">
        <v>0</v>
      </c>
      <c r="W51" s="24"/>
    </row>
    <row r="52" spans="1:23" s="23" customFormat="1" x14ac:dyDescent="0.2">
      <c r="A52" s="25">
        <v>57</v>
      </c>
      <c r="B52" s="25" t="s">
        <v>70</v>
      </c>
      <c r="C52" s="25">
        <v>180413</v>
      </c>
      <c r="D52" s="23" t="s">
        <v>90</v>
      </c>
      <c r="E52" s="23" t="s">
        <v>90</v>
      </c>
      <c r="F52" s="25">
        <v>0.193</v>
      </c>
      <c r="G52" s="25" t="s">
        <v>40</v>
      </c>
      <c r="M52" s="26"/>
      <c r="N52" s="26"/>
      <c r="O52" s="24"/>
      <c r="P52" t="s">
        <v>129</v>
      </c>
      <c r="Q52" s="24"/>
      <c r="R52" s="24" t="s">
        <v>78</v>
      </c>
      <c r="S52" s="24" t="s">
        <v>78</v>
      </c>
      <c r="T52" s="24"/>
      <c r="U52" s="57">
        <v>1.2041450777202072</v>
      </c>
      <c r="V52" s="57">
        <v>0</v>
      </c>
      <c r="W52" s="24"/>
    </row>
    <row r="53" spans="1:23" s="23" customFormat="1" x14ac:dyDescent="0.2">
      <c r="A53" s="25">
        <v>58</v>
      </c>
      <c r="B53" s="25" t="s">
        <v>99</v>
      </c>
      <c r="C53" s="25">
        <v>1035</v>
      </c>
      <c r="D53" s="23" t="s">
        <v>90</v>
      </c>
      <c r="E53" s="23" t="s">
        <v>90</v>
      </c>
      <c r="F53" s="25">
        <v>0.12720000000000001</v>
      </c>
      <c r="G53" s="25" t="s">
        <v>40</v>
      </c>
      <c r="H53" s="23" t="s">
        <v>33</v>
      </c>
      <c r="I53" s="23" t="s">
        <v>34</v>
      </c>
      <c r="J53" s="23" t="s">
        <v>35</v>
      </c>
      <c r="M53" s="26"/>
      <c r="N53" s="26"/>
      <c r="O53" s="24"/>
      <c r="P53" t="s">
        <v>129</v>
      </c>
      <c r="Q53" s="24"/>
      <c r="R53" s="24" t="s">
        <v>78</v>
      </c>
      <c r="S53" s="24" t="s">
        <v>78</v>
      </c>
      <c r="T53" s="24"/>
      <c r="U53" s="57">
        <v>7.8396226415094343</v>
      </c>
      <c r="V53" s="57">
        <v>0</v>
      </c>
      <c r="W53" s="24"/>
    </row>
    <row r="54" spans="1:23" s="23" customFormat="1" x14ac:dyDescent="0.2">
      <c r="A54" s="25">
        <v>59</v>
      </c>
      <c r="B54" s="25" t="s">
        <v>100</v>
      </c>
      <c r="C54" s="25">
        <v>2017030</v>
      </c>
      <c r="D54" s="23" t="s">
        <v>90</v>
      </c>
      <c r="E54" s="23" t="s">
        <v>90</v>
      </c>
      <c r="F54" s="25">
        <v>0.16059999999999999</v>
      </c>
      <c r="G54" s="25" t="s">
        <v>40</v>
      </c>
      <c r="P54" t="s">
        <v>129</v>
      </c>
      <c r="R54" s="24" t="s">
        <v>78</v>
      </c>
      <c r="S54" s="24" t="s">
        <v>78</v>
      </c>
      <c r="U54" s="58">
        <v>6.435865504358655</v>
      </c>
      <c r="V54" s="58">
        <v>0</v>
      </c>
    </row>
    <row r="55" spans="1:23" s="23" customFormat="1" x14ac:dyDescent="0.2">
      <c r="A55" s="25">
        <v>60</v>
      </c>
      <c r="B55" s="25" t="s">
        <v>99</v>
      </c>
      <c r="C55" s="25">
        <v>1585</v>
      </c>
      <c r="D55" s="23" t="s">
        <v>90</v>
      </c>
      <c r="E55" s="23" t="s">
        <v>90</v>
      </c>
      <c r="F55" s="25">
        <v>0.1043</v>
      </c>
      <c r="G55" s="25" t="s">
        <v>27</v>
      </c>
      <c r="H55" s="23" t="s">
        <v>44</v>
      </c>
      <c r="I55" s="23" t="s">
        <v>34</v>
      </c>
      <c r="J55" s="23" t="s">
        <v>31</v>
      </c>
      <c r="M55" s="26"/>
      <c r="N55" s="26"/>
      <c r="O55" s="24"/>
      <c r="P55" t="s">
        <v>129</v>
      </c>
      <c r="Q55" s="24"/>
      <c r="R55" s="24" t="s">
        <v>78</v>
      </c>
      <c r="S55" s="24" t="s">
        <v>78</v>
      </c>
      <c r="T55" s="24"/>
      <c r="U55" s="57"/>
      <c r="V55" s="57">
        <v>0</v>
      </c>
      <c r="W55" s="24"/>
    </row>
    <row r="56" spans="1:23" s="23" customFormat="1" x14ac:dyDescent="0.2">
      <c r="A56" s="25">
        <v>61</v>
      </c>
      <c r="B56" s="25" t="s">
        <v>99</v>
      </c>
      <c r="C56" s="25">
        <v>1652</v>
      </c>
      <c r="D56" s="23" t="s">
        <v>90</v>
      </c>
      <c r="E56" s="23" t="s">
        <v>90</v>
      </c>
      <c r="F56" s="25">
        <v>0.14219999999999999</v>
      </c>
      <c r="G56" s="25" t="s">
        <v>27</v>
      </c>
      <c r="H56" s="23" t="s">
        <v>36</v>
      </c>
      <c r="I56" s="23" t="s">
        <v>34</v>
      </c>
      <c r="J56" s="23" t="s">
        <v>31</v>
      </c>
      <c r="M56" s="26"/>
      <c r="N56" s="26"/>
      <c r="O56" s="24"/>
      <c r="P56" t="s">
        <v>129</v>
      </c>
      <c r="Q56" s="24"/>
      <c r="R56" s="24" t="s">
        <v>78</v>
      </c>
      <c r="S56" s="24" t="s">
        <v>78</v>
      </c>
      <c r="T56" s="24"/>
      <c r="U56" s="57">
        <v>13.502109704641351</v>
      </c>
      <c r="V56" s="57">
        <v>0</v>
      </c>
      <c r="W56" s="24"/>
    </row>
    <row r="57" spans="1:23" s="23" customFormat="1" x14ac:dyDescent="0.2">
      <c r="A57" s="25">
        <v>62</v>
      </c>
      <c r="B57" s="25" t="s">
        <v>99</v>
      </c>
      <c r="C57" s="25">
        <v>1278</v>
      </c>
      <c r="D57" s="23" t="s">
        <v>90</v>
      </c>
      <c r="E57" s="23" t="s">
        <v>90</v>
      </c>
      <c r="F57" s="25">
        <v>0.14019999999999999</v>
      </c>
      <c r="G57" s="25" t="s">
        <v>27</v>
      </c>
      <c r="H57" s="23" t="s">
        <v>33</v>
      </c>
      <c r="I57" s="23" t="s">
        <v>34</v>
      </c>
      <c r="J57" s="23" t="s">
        <v>37</v>
      </c>
      <c r="P57" t="s">
        <v>129</v>
      </c>
      <c r="R57" s="24" t="s">
        <v>78</v>
      </c>
      <c r="S57" s="24" t="s">
        <v>78</v>
      </c>
      <c r="U57" s="58">
        <v>25.459343794579173</v>
      </c>
      <c r="V57" s="58">
        <v>0</v>
      </c>
    </row>
    <row r="58" spans="1:23" s="23" customFormat="1" x14ac:dyDescent="0.2">
      <c r="A58" s="25">
        <v>63</v>
      </c>
      <c r="B58" s="25" t="s">
        <v>100</v>
      </c>
      <c r="C58" s="25">
        <v>2011090</v>
      </c>
      <c r="D58" s="23" t="s">
        <v>90</v>
      </c>
      <c r="E58" s="23" t="s">
        <v>90</v>
      </c>
      <c r="F58" s="25">
        <v>0.20269999999999999</v>
      </c>
      <c r="G58" s="25" t="s">
        <v>40</v>
      </c>
      <c r="P58" t="s">
        <v>129</v>
      </c>
      <c r="R58" s="24" t="s">
        <v>78</v>
      </c>
      <c r="S58" s="24" t="s">
        <v>78</v>
      </c>
      <c r="U58" s="58"/>
      <c r="V58" s="58">
        <v>0</v>
      </c>
    </row>
    <row r="59" spans="1:23" s="23" customFormat="1" x14ac:dyDescent="0.2">
      <c r="A59" s="25">
        <v>64</v>
      </c>
      <c r="B59" s="25" t="s">
        <v>99</v>
      </c>
      <c r="C59" s="25">
        <v>1593</v>
      </c>
      <c r="D59" s="23" t="s">
        <v>90</v>
      </c>
      <c r="E59" s="23" t="s">
        <v>90</v>
      </c>
      <c r="F59" s="25">
        <v>0.26469999999999999</v>
      </c>
      <c r="G59" s="25" t="s">
        <v>27</v>
      </c>
      <c r="H59" s="23" t="s">
        <v>39</v>
      </c>
      <c r="I59" s="23" t="s">
        <v>30</v>
      </c>
      <c r="J59" s="23" t="s">
        <v>37</v>
      </c>
      <c r="P59" t="s">
        <v>129</v>
      </c>
      <c r="R59" s="24" t="s">
        <v>78</v>
      </c>
      <c r="S59" s="24" t="s">
        <v>78</v>
      </c>
      <c r="U59" s="58">
        <v>18.831885153003402</v>
      </c>
      <c r="V59" s="58">
        <v>0</v>
      </c>
    </row>
    <row r="60" spans="1:23" x14ac:dyDescent="0.2">
      <c r="A60" s="9">
        <v>65</v>
      </c>
      <c r="B60" s="9" t="s">
        <v>99</v>
      </c>
      <c r="C60" s="10">
        <v>1723</v>
      </c>
      <c r="D60" s="10" t="s">
        <v>90</v>
      </c>
      <c r="E60" s="53" t="s">
        <v>90</v>
      </c>
      <c r="F60" s="10">
        <v>0.19170000000000001</v>
      </c>
      <c r="G60" t="s">
        <v>27</v>
      </c>
      <c r="I60" t="s">
        <v>104</v>
      </c>
      <c r="K60" t="s">
        <v>30</v>
      </c>
      <c r="P60" t="s">
        <v>129</v>
      </c>
      <c r="R60" s="11"/>
      <c r="T60" s="11">
        <v>4.6541471048513303</v>
      </c>
      <c r="U60" s="11">
        <v>8.2520605112154399</v>
      </c>
      <c r="V60" s="11">
        <v>2.3452269170579028</v>
      </c>
      <c r="W60">
        <v>12.7</v>
      </c>
    </row>
    <row r="61" spans="1:23" x14ac:dyDescent="0.2">
      <c r="A61" s="9">
        <v>66</v>
      </c>
      <c r="B61" s="9" t="s">
        <v>99</v>
      </c>
      <c r="C61" s="10">
        <v>1723</v>
      </c>
      <c r="D61" s="1" t="s">
        <v>81</v>
      </c>
      <c r="E61" s="52" t="s">
        <v>91</v>
      </c>
      <c r="F61" s="9">
        <v>0.16089999999999999</v>
      </c>
      <c r="G61" t="s">
        <v>27</v>
      </c>
      <c r="I61" t="s">
        <v>104</v>
      </c>
      <c r="K61" t="s">
        <v>30</v>
      </c>
      <c r="P61" t="s">
        <v>129</v>
      </c>
      <c r="R61" s="11"/>
      <c r="T61" s="11">
        <v>1.0142945929148539</v>
      </c>
      <c r="U61" s="11">
        <v>16.208825357364823</v>
      </c>
      <c r="V61" s="11">
        <v>0.25543816034804229</v>
      </c>
    </row>
    <row r="62" spans="1:23" x14ac:dyDescent="0.2">
      <c r="A62" s="9">
        <v>67</v>
      </c>
      <c r="B62" s="9" t="s">
        <v>99</v>
      </c>
      <c r="C62" s="9">
        <v>1724</v>
      </c>
      <c r="D62" s="1" t="s">
        <v>82</v>
      </c>
      <c r="E62" s="52" t="s">
        <v>90</v>
      </c>
      <c r="F62" s="9">
        <v>0.2099</v>
      </c>
      <c r="G62" s="9" t="s">
        <v>27</v>
      </c>
      <c r="I62" t="s">
        <v>34</v>
      </c>
      <c r="K62" t="s">
        <v>30</v>
      </c>
      <c r="L62" t="s">
        <v>68</v>
      </c>
      <c r="P62" t="s">
        <v>129</v>
      </c>
      <c r="R62" s="11">
        <v>2.156074321105288</v>
      </c>
      <c r="T62" s="11">
        <v>0.39352072415435918</v>
      </c>
      <c r="U62" s="11">
        <v>0.10767031919961888</v>
      </c>
      <c r="V62" s="11">
        <v>0</v>
      </c>
      <c r="W62">
        <v>5.9</v>
      </c>
    </row>
    <row r="63" spans="1:23" x14ac:dyDescent="0.2">
      <c r="A63" s="9">
        <v>68</v>
      </c>
      <c r="B63" s="9" t="s">
        <v>99</v>
      </c>
      <c r="C63" s="9">
        <v>1724</v>
      </c>
      <c r="D63" s="1" t="s">
        <v>83</v>
      </c>
      <c r="E63" s="52" t="s">
        <v>91</v>
      </c>
      <c r="F63" s="9">
        <v>0.1623</v>
      </c>
      <c r="G63" s="9" t="s">
        <v>27</v>
      </c>
      <c r="I63" t="s">
        <v>34</v>
      </c>
      <c r="K63" t="s">
        <v>30</v>
      </c>
      <c r="P63" t="s">
        <v>129</v>
      </c>
      <c r="R63" s="11">
        <v>3.0771410967344424</v>
      </c>
      <c r="T63" s="11">
        <v>0.46950092421441775</v>
      </c>
      <c r="U63" s="11">
        <v>0.12199630314232902</v>
      </c>
      <c r="V63" s="11">
        <v>2.6494146642020946E-2</v>
      </c>
    </row>
    <row r="64" spans="1:23" x14ac:dyDescent="0.2">
      <c r="A64" s="9">
        <v>69</v>
      </c>
      <c r="B64" s="9" t="s">
        <v>99</v>
      </c>
      <c r="C64" s="9">
        <v>1724</v>
      </c>
      <c r="D64" s="1" t="s">
        <v>84</v>
      </c>
      <c r="E64" s="52" t="s">
        <v>85</v>
      </c>
      <c r="F64" s="9">
        <v>0.18959999999999999</v>
      </c>
      <c r="G64" s="9" t="s">
        <v>27</v>
      </c>
      <c r="I64" t="s">
        <v>34</v>
      </c>
      <c r="K64" t="s">
        <v>30</v>
      </c>
      <c r="P64" t="s">
        <v>129</v>
      </c>
      <c r="R64" s="11">
        <v>1.1404008438818567</v>
      </c>
      <c r="T64" s="11">
        <v>0.30907172995780591</v>
      </c>
      <c r="U64" s="11">
        <v>0.1729957805907173</v>
      </c>
      <c r="V64" s="11">
        <v>0</v>
      </c>
    </row>
    <row r="65" spans="1:23" x14ac:dyDescent="0.2">
      <c r="A65" s="9">
        <v>70</v>
      </c>
      <c r="B65" s="9" t="s">
        <v>99</v>
      </c>
      <c r="C65" s="9">
        <v>1714</v>
      </c>
      <c r="D65" s="1" t="s">
        <v>82</v>
      </c>
      <c r="E65" s="52" t="s">
        <v>90</v>
      </c>
      <c r="F65" s="9">
        <v>0.2127</v>
      </c>
      <c r="G65" t="s">
        <v>27</v>
      </c>
      <c r="I65" t="s">
        <v>104</v>
      </c>
      <c r="K65" t="s">
        <v>30</v>
      </c>
      <c r="L65" t="s">
        <v>68</v>
      </c>
      <c r="P65" t="s">
        <v>129</v>
      </c>
      <c r="R65" s="11"/>
      <c r="T65" s="11">
        <v>3.1678420310296187</v>
      </c>
      <c r="U65" s="11">
        <v>2.1024917724494596</v>
      </c>
      <c r="V65" s="11">
        <v>1.522849083215797</v>
      </c>
      <c r="W65">
        <v>23.7</v>
      </c>
    </row>
    <row r="66" spans="1:23" x14ac:dyDescent="0.2">
      <c r="A66" s="9">
        <v>71</v>
      </c>
      <c r="B66" s="9" t="s">
        <v>99</v>
      </c>
      <c r="C66" s="9">
        <v>1714</v>
      </c>
      <c r="D66" s="1" t="s">
        <v>83</v>
      </c>
      <c r="E66" s="52" t="s">
        <v>91</v>
      </c>
      <c r="F66" s="9">
        <v>0.15870000000000001</v>
      </c>
      <c r="G66" t="s">
        <v>27</v>
      </c>
      <c r="I66" t="s">
        <v>104</v>
      </c>
      <c r="K66" t="s">
        <v>30</v>
      </c>
      <c r="P66" t="s">
        <v>129</v>
      </c>
      <c r="R66" s="11"/>
      <c r="T66" s="11">
        <v>0.30623818525519847</v>
      </c>
      <c r="U66" s="11">
        <v>0.71581600504095777</v>
      </c>
      <c r="V66" s="11">
        <v>2.9867674858223062E-2</v>
      </c>
    </row>
    <row r="67" spans="1:23" x14ac:dyDescent="0.2">
      <c r="A67" s="9">
        <v>72</v>
      </c>
      <c r="B67" s="9" t="s">
        <v>99</v>
      </c>
      <c r="C67" s="9">
        <v>1714</v>
      </c>
      <c r="D67" s="1" t="s">
        <v>85</v>
      </c>
      <c r="E67" s="52" t="s">
        <v>85</v>
      </c>
      <c r="F67" s="9">
        <v>0.19539999999999999</v>
      </c>
      <c r="G67" t="s">
        <v>27</v>
      </c>
      <c r="I67" t="s">
        <v>104</v>
      </c>
      <c r="K67" t="s">
        <v>30</v>
      </c>
      <c r="P67" t="s">
        <v>129</v>
      </c>
      <c r="R67" s="11"/>
      <c r="T67" s="11">
        <v>0.38075742067553742</v>
      </c>
      <c r="U67" s="11">
        <v>16.630501535312181</v>
      </c>
      <c r="V67" s="11">
        <v>0</v>
      </c>
    </row>
    <row r="68" spans="1:23" x14ac:dyDescent="0.2">
      <c r="A68" s="9">
        <v>73</v>
      </c>
      <c r="B68" s="9" t="s">
        <v>70</v>
      </c>
      <c r="C68" s="9">
        <v>190402</v>
      </c>
      <c r="D68" s="1" t="s">
        <v>86</v>
      </c>
      <c r="E68" s="52" t="s">
        <v>90</v>
      </c>
      <c r="F68" s="9">
        <v>0.19120000000000001</v>
      </c>
      <c r="G68" t="s">
        <v>27</v>
      </c>
      <c r="I68" t="s">
        <v>34</v>
      </c>
      <c r="K68" t="s">
        <v>30</v>
      </c>
      <c r="L68" t="s">
        <v>68</v>
      </c>
      <c r="P68" t="s">
        <v>129</v>
      </c>
      <c r="R68" s="11">
        <v>5.359205020920502</v>
      </c>
      <c r="T68" s="11">
        <v>0.32949790794979078</v>
      </c>
      <c r="U68" s="11">
        <v>3.3106694560669454</v>
      </c>
      <c r="V68" s="11">
        <v>0</v>
      </c>
      <c r="W68">
        <v>21.8</v>
      </c>
    </row>
    <row r="69" spans="1:23" x14ac:dyDescent="0.2">
      <c r="A69" s="9">
        <v>74</v>
      </c>
      <c r="B69" s="9" t="s">
        <v>70</v>
      </c>
      <c r="C69" s="9">
        <v>190402</v>
      </c>
      <c r="D69" s="1" t="s">
        <v>87</v>
      </c>
      <c r="E69" s="52" t="s">
        <v>91</v>
      </c>
      <c r="F69" s="9">
        <v>0.1938</v>
      </c>
      <c r="G69" t="s">
        <v>27</v>
      </c>
      <c r="I69" t="s">
        <v>34</v>
      </c>
      <c r="K69" t="s">
        <v>30</v>
      </c>
      <c r="P69" t="s">
        <v>129</v>
      </c>
      <c r="R69" s="11">
        <v>1.5865841073271416</v>
      </c>
      <c r="T69" s="11">
        <v>0.51393188854489169</v>
      </c>
      <c r="U69" s="11">
        <v>0.49226006191950467</v>
      </c>
      <c r="V69" s="11">
        <v>0</v>
      </c>
      <c r="W69">
        <v>0.1</v>
      </c>
    </row>
    <row r="70" spans="1:23" x14ac:dyDescent="0.2">
      <c r="A70" s="9">
        <v>75</v>
      </c>
      <c r="B70" s="9" t="s">
        <v>70</v>
      </c>
      <c r="C70" s="9">
        <v>190402</v>
      </c>
      <c r="D70" s="1" t="s">
        <v>88</v>
      </c>
      <c r="E70" s="52" t="s">
        <v>85</v>
      </c>
      <c r="F70" s="9">
        <v>0.2135</v>
      </c>
      <c r="G70" t="s">
        <v>27</v>
      </c>
      <c r="I70" t="s">
        <v>34</v>
      </c>
      <c r="K70" t="s">
        <v>30</v>
      </c>
      <c r="P70" t="s">
        <v>129</v>
      </c>
      <c r="R70" s="11">
        <v>1.1588758782201405</v>
      </c>
      <c r="T70" s="11">
        <v>0.31475409836065577</v>
      </c>
      <c r="U70" s="11">
        <v>1.3762997658079623</v>
      </c>
      <c r="V70" s="11">
        <v>0</v>
      </c>
      <c r="W70">
        <v>0.03</v>
      </c>
    </row>
    <row r="71" spans="1:23" x14ac:dyDescent="0.2">
      <c r="A71" s="9">
        <v>76</v>
      </c>
      <c r="B71" s="9" t="s">
        <v>100</v>
      </c>
      <c r="C71" s="9">
        <v>2019047</v>
      </c>
      <c r="D71" s="1" t="s">
        <v>86</v>
      </c>
      <c r="E71" s="52" t="s">
        <v>90</v>
      </c>
      <c r="F71" s="9">
        <v>0.21490000000000001</v>
      </c>
      <c r="G71" t="s">
        <v>40</v>
      </c>
      <c r="I71" t="s">
        <v>104</v>
      </c>
      <c r="K71" t="s">
        <v>30</v>
      </c>
      <c r="L71" t="s">
        <v>68</v>
      </c>
      <c r="P71" t="s">
        <v>129</v>
      </c>
      <c r="R71" s="11"/>
      <c r="T71" s="11">
        <v>0.15635179153094464</v>
      </c>
      <c r="U71" s="11">
        <v>0.96044671940437409</v>
      </c>
      <c r="V71" s="11">
        <v>3.8087482550023269E-2</v>
      </c>
      <c r="W71">
        <v>2.1</v>
      </c>
    </row>
    <row r="72" spans="1:23" x14ac:dyDescent="0.2">
      <c r="A72" s="9">
        <v>77</v>
      </c>
      <c r="B72" s="9" t="s">
        <v>100</v>
      </c>
      <c r="C72" s="9">
        <v>2019047</v>
      </c>
      <c r="D72" s="1" t="s">
        <v>81</v>
      </c>
      <c r="E72" s="52" t="s">
        <v>91</v>
      </c>
      <c r="F72" s="9">
        <v>0.19439999999999999</v>
      </c>
      <c r="G72" t="s">
        <v>40</v>
      </c>
      <c r="I72" t="s">
        <v>104</v>
      </c>
      <c r="K72" t="s">
        <v>30</v>
      </c>
      <c r="P72" t="s">
        <v>129</v>
      </c>
      <c r="R72" s="11"/>
      <c r="T72" s="11">
        <v>0.15447530864197531</v>
      </c>
      <c r="U72" s="11">
        <v>1.1028806584362141</v>
      </c>
      <c r="V72" s="11">
        <v>1.3708847736625515E-2</v>
      </c>
    </row>
    <row r="73" spans="1:23" x14ac:dyDescent="0.2">
      <c r="A73" s="9">
        <v>78</v>
      </c>
      <c r="B73" s="9" t="s">
        <v>100</v>
      </c>
      <c r="C73" s="9">
        <v>2019047</v>
      </c>
      <c r="D73" s="1" t="s">
        <v>89</v>
      </c>
      <c r="E73" s="52" t="s">
        <v>85</v>
      </c>
      <c r="F73" s="9">
        <v>0.23519999999999999</v>
      </c>
      <c r="G73" t="s">
        <v>40</v>
      </c>
      <c r="I73" t="s">
        <v>104</v>
      </c>
      <c r="K73" t="s">
        <v>30</v>
      </c>
      <c r="P73" t="s">
        <v>129</v>
      </c>
      <c r="R73" s="11"/>
      <c r="T73" s="11">
        <v>0.74489795918367352</v>
      </c>
      <c r="U73" s="11">
        <v>0.99319727891156462</v>
      </c>
      <c r="V73" s="11">
        <v>4.7193877551020419E-3</v>
      </c>
    </row>
    <row r="74" spans="1:23" x14ac:dyDescent="0.2">
      <c r="A74" s="9">
        <v>79</v>
      </c>
      <c r="B74" s="9" t="s">
        <v>99</v>
      </c>
      <c r="C74" s="9">
        <v>1732</v>
      </c>
      <c r="D74" s="1" t="s">
        <v>90</v>
      </c>
      <c r="E74" s="52" t="s">
        <v>90</v>
      </c>
      <c r="F74" s="9">
        <v>0.1459</v>
      </c>
      <c r="G74" t="s">
        <v>40</v>
      </c>
      <c r="I74" t="s">
        <v>34</v>
      </c>
      <c r="K74" t="s">
        <v>30</v>
      </c>
      <c r="L74" t="s">
        <v>68</v>
      </c>
      <c r="P74" t="s">
        <v>129</v>
      </c>
      <c r="R74" s="11"/>
      <c r="T74" s="11">
        <v>0.44276901987662781</v>
      </c>
      <c r="U74" s="11">
        <v>0</v>
      </c>
      <c r="V74" s="11">
        <v>3.7388622344071282E-2</v>
      </c>
      <c r="W74">
        <v>27.1</v>
      </c>
    </row>
    <row r="75" spans="1:23" x14ac:dyDescent="0.2">
      <c r="A75" s="9">
        <v>80</v>
      </c>
      <c r="B75" s="9" t="s">
        <v>99</v>
      </c>
      <c r="C75" s="9">
        <v>1732</v>
      </c>
      <c r="D75" s="1" t="s">
        <v>91</v>
      </c>
      <c r="E75" s="52" t="s">
        <v>91</v>
      </c>
      <c r="F75" s="9">
        <v>0.125</v>
      </c>
      <c r="G75" t="s">
        <v>40</v>
      </c>
      <c r="I75" t="s">
        <v>34</v>
      </c>
      <c r="K75" t="s">
        <v>30</v>
      </c>
      <c r="P75" t="s">
        <v>129</v>
      </c>
      <c r="R75" s="11"/>
      <c r="T75" s="11">
        <v>0.67520000000000002</v>
      </c>
      <c r="U75" s="11">
        <v>1.1807999999999998</v>
      </c>
      <c r="V75" s="11">
        <v>5.7799999999999997E-2</v>
      </c>
    </row>
    <row r="76" spans="1:23" x14ac:dyDescent="0.2">
      <c r="A76" s="9">
        <v>81</v>
      </c>
      <c r="B76" s="9" t="s">
        <v>99</v>
      </c>
      <c r="C76" s="9">
        <v>1732</v>
      </c>
      <c r="D76" s="1" t="s">
        <v>85</v>
      </c>
      <c r="E76" s="52" t="s">
        <v>85</v>
      </c>
      <c r="F76" s="9">
        <v>0.17599999999999999</v>
      </c>
      <c r="G76" t="s">
        <v>40</v>
      </c>
      <c r="I76" t="s">
        <v>34</v>
      </c>
      <c r="K76" t="s">
        <v>30</v>
      </c>
      <c r="P76" t="s">
        <v>129</v>
      </c>
      <c r="R76" s="11"/>
      <c r="T76" s="11">
        <v>0.22045454545454543</v>
      </c>
      <c r="U76" s="11">
        <v>0.64090909090909087</v>
      </c>
      <c r="V76" s="11">
        <v>3.1250000000000006E-3</v>
      </c>
    </row>
    <row r="77" spans="1:23" x14ac:dyDescent="0.2">
      <c r="A77" s="9">
        <v>82</v>
      </c>
      <c r="B77" s="9" t="s">
        <v>99</v>
      </c>
      <c r="C77" s="9">
        <v>1720</v>
      </c>
      <c r="D77" s="1" t="s">
        <v>90</v>
      </c>
      <c r="E77" s="52" t="s">
        <v>90</v>
      </c>
      <c r="F77" s="9">
        <v>0.1668</v>
      </c>
      <c r="G77" t="s">
        <v>40</v>
      </c>
      <c r="I77" t="s">
        <v>104</v>
      </c>
      <c r="K77" t="s">
        <v>30</v>
      </c>
      <c r="L77" t="s">
        <v>68</v>
      </c>
      <c r="P77" t="s">
        <v>129</v>
      </c>
      <c r="R77" s="11"/>
      <c r="T77" s="11">
        <v>3.6007194244604315</v>
      </c>
      <c r="U77" s="11" t="e">
        <v>#VALUE!</v>
      </c>
      <c r="V77" s="11">
        <v>9.2356115107913667E-2</v>
      </c>
      <c r="W77">
        <v>4.5999999999999996</v>
      </c>
    </row>
    <row r="78" spans="1:23" x14ac:dyDescent="0.2">
      <c r="A78" s="9">
        <v>83</v>
      </c>
      <c r="B78" s="9" t="s">
        <v>99</v>
      </c>
      <c r="C78" s="9">
        <v>1720</v>
      </c>
      <c r="D78" s="1" t="s">
        <v>85</v>
      </c>
      <c r="E78" s="52" t="s">
        <v>85</v>
      </c>
      <c r="F78" s="9">
        <v>0.17230000000000001</v>
      </c>
      <c r="G78" t="s">
        <v>40</v>
      </c>
      <c r="I78" t="s">
        <v>104</v>
      </c>
      <c r="K78" t="s">
        <v>30</v>
      </c>
      <c r="P78" t="s">
        <v>129</v>
      </c>
      <c r="R78" s="11"/>
      <c r="T78" s="11">
        <v>0.80905397562391179</v>
      </c>
      <c r="U78" s="11">
        <v>0</v>
      </c>
      <c r="V78" s="11">
        <v>1.1317469529889726E-2</v>
      </c>
    </row>
    <row r="79" spans="1:23" x14ac:dyDescent="0.2">
      <c r="A79" s="9">
        <v>84</v>
      </c>
      <c r="B79" s="9" t="s">
        <v>99</v>
      </c>
      <c r="C79" s="9">
        <v>1712</v>
      </c>
      <c r="D79" s="1" t="s">
        <v>92</v>
      </c>
      <c r="E79" s="52" t="s">
        <v>90</v>
      </c>
      <c r="F79" s="9">
        <v>0.1653</v>
      </c>
      <c r="G79" t="s">
        <v>40</v>
      </c>
      <c r="I79" t="s">
        <v>34</v>
      </c>
      <c r="J79" t="s">
        <v>103</v>
      </c>
      <c r="K79" t="s">
        <v>30</v>
      </c>
      <c r="L79" t="s">
        <v>68</v>
      </c>
      <c r="P79" t="s">
        <v>129</v>
      </c>
      <c r="R79" s="11"/>
      <c r="T79" s="11">
        <v>0</v>
      </c>
      <c r="U79" s="11">
        <v>1.5196612220205685</v>
      </c>
      <c r="V79" s="11">
        <v>5.2268602540834846E-2</v>
      </c>
      <c r="W79" s="8">
        <v>5.37</v>
      </c>
    </row>
    <row r="80" spans="1:23" x14ac:dyDescent="0.2">
      <c r="A80" s="9">
        <v>85</v>
      </c>
      <c r="B80" s="9" t="s">
        <v>99</v>
      </c>
      <c r="C80" s="9">
        <v>1712</v>
      </c>
      <c r="D80" s="1" t="s">
        <v>83</v>
      </c>
      <c r="E80" s="52" t="s">
        <v>91</v>
      </c>
      <c r="F80" s="9">
        <v>0.1333</v>
      </c>
      <c r="G80" t="s">
        <v>40</v>
      </c>
      <c r="I80" t="s">
        <v>34</v>
      </c>
      <c r="J80" t="s">
        <v>103</v>
      </c>
      <c r="K80" t="s">
        <v>30</v>
      </c>
      <c r="P80" t="s">
        <v>129</v>
      </c>
      <c r="R80" s="11"/>
      <c r="T80" s="11">
        <v>0.87921980495123786</v>
      </c>
      <c r="U80" s="11">
        <v>1.1792948237059264</v>
      </c>
      <c r="V80" s="11">
        <v>1.1252813203300824E-2</v>
      </c>
      <c r="W80" s="8">
        <v>3.03</v>
      </c>
    </row>
    <row r="81" spans="1:23" x14ac:dyDescent="0.2">
      <c r="A81" s="9">
        <v>86</v>
      </c>
      <c r="B81" s="9" t="s">
        <v>99</v>
      </c>
      <c r="C81" s="9">
        <v>1712</v>
      </c>
      <c r="D81" s="1" t="s">
        <v>84</v>
      </c>
      <c r="E81" s="52" t="s">
        <v>85</v>
      </c>
      <c r="F81" s="9">
        <v>0.109</v>
      </c>
      <c r="G81" t="s">
        <v>40</v>
      </c>
      <c r="I81" t="s">
        <v>34</v>
      </c>
      <c r="J81" t="s">
        <v>103</v>
      </c>
      <c r="K81" t="s">
        <v>30</v>
      </c>
      <c r="P81" t="s">
        <v>129</v>
      </c>
      <c r="R81" s="11"/>
      <c r="T81" s="11">
        <v>0</v>
      </c>
      <c r="U81" s="11">
        <v>1.3357798165137615</v>
      </c>
      <c r="V81" s="11">
        <v>0</v>
      </c>
      <c r="W81" s="8">
        <v>0.88859291692034659</v>
      </c>
    </row>
    <row r="82" spans="1:23" x14ac:dyDescent="0.2">
      <c r="A82" s="9">
        <v>87</v>
      </c>
      <c r="B82" s="9" t="s">
        <v>70</v>
      </c>
      <c r="C82" s="9">
        <v>190430</v>
      </c>
      <c r="D82" s="1" t="s">
        <v>90</v>
      </c>
      <c r="E82" s="52" t="s">
        <v>90</v>
      </c>
      <c r="F82" s="9">
        <v>0.104</v>
      </c>
      <c r="G82" t="s">
        <v>27</v>
      </c>
      <c r="I82" t="s">
        <v>34</v>
      </c>
      <c r="K82" t="s">
        <v>30</v>
      </c>
      <c r="L82" t="s">
        <v>68</v>
      </c>
      <c r="P82" t="s">
        <v>129</v>
      </c>
      <c r="R82" s="11">
        <v>2.7640384615384614</v>
      </c>
      <c r="T82" s="11">
        <v>0.15576923076923077</v>
      </c>
      <c r="U82" s="11">
        <v>3.1884615384615391</v>
      </c>
      <c r="V82" s="11"/>
      <c r="W82" s="8">
        <v>17.7</v>
      </c>
    </row>
    <row r="83" spans="1:23" x14ac:dyDescent="0.2">
      <c r="A83" s="9">
        <v>88</v>
      </c>
      <c r="B83" s="9" t="s">
        <v>70</v>
      </c>
      <c r="C83" s="9">
        <v>190430</v>
      </c>
      <c r="D83" s="1" t="s">
        <v>91</v>
      </c>
      <c r="E83" s="52" t="s">
        <v>91</v>
      </c>
      <c r="F83" s="9">
        <v>0.153</v>
      </c>
      <c r="G83" t="s">
        <v>27</v>
      </c>
      <c r="I83" t="s">
        <v>34</v>
      </c>
      <c r="K83" t="s">
        <v>30</v>
      </c>
      <c r="P83" t="s">
        <v>129</v>
      </c>
      <c r="R83" s="11">
        <v>0.94875816993464046</v>
      </c>
      <c r="T83" s="11">
        <v>0.28366013071895424</v>
      </c>
      <c r="U83" s="11">
        <v>0.78823529411764703</v>
      </c>
      <c r="V83" s="11"/>
      <c r="W83" s="11">
        <v>2.6</v>
      </c>
    </row>
    <row r="84" spans="1:23" x14ac:dyDescent="0.2">
      <c r="A84" s="9">
        <v>89</v>
      </c>
      <c r="B84" s="9" t="s">
        <v>70</v>
      </c>
      <c r="C84" s="9">
        <v>190430</v>
      </c>
      <c r="D84" s="1" t="s">
        <v>85</v>
      </c>
      <c r="E84" s="52" t="s">
        <v>85</v>
      </c>
      <c r="F84" s="9">
        <v>0.21249999999999999</v>
      </c>
      <c r="G84" t="s">
        <v>27</v>
      </c>
      <c r="I84" t="s">
        <v>34</v>
      </c>
      <c r="K84" t="s">
        <v>30</v>
      </c>
      <c r="P84" t="s">
        <v>129</v>
      </c>
      <c r="R84" s="11">
        <v>0.37496470588235298</v>
      </c>
      <c r="T84" s="11">
        <v>7.0588235294117646E-2</v>
      </c>
      <c r="U84" s="11">
        <v>0.58258823529411763</v>
      </c>
      <c r="V84" s="11"/>
      <c r="W84" s="11">
        <v>0.2</v>
      </c>
    </row>
    <row r="85" spans="1:23" x14ac:dyDescent="0.2">
      <c r="A85" s="9">
        <v>90</v>
      </c>
      <c r="B85" s="9" t="s">
        <v>99</v>
      </c>
      <c r="C85" s="9">
        <v>1740</v>
      </c>
      <c r="D85" s="1" t="s">
        <v>90</v>
      </c>
      <c r="E85" s="52" t="s">
        <v>90</v>
      </c>
      <c r="F85" s="9">
        <v>0.16919999999999999</v>
      </c>
      <c r="G85" t="s">
        <v>40</v>
      </c>
      <c r="I85" t="s">
        <v>34</v>
      </c>
      <c r="K85" t="s">
        <v>30</v>
      </c>
      <c r="L85" t="s">
        <v>68</v>
      </c>
      <c r="P85" t="s">
        <v>129</v>
      </c>
      <c r="R85" s="11"/>
      <c r="T85" s="11">
        <v>0.22222222222222227</v>
      </c>
      <c r="U85" s="11">
        <v>5.6643026004728139</v>
      </c>
      <c r="V85" s="11"/>
      <c r="W85">
        <v>13.4</v>
      </c>
    </row>
    <row r="86" spans="1:23" x14ac:dyDescent="0.2">
      <c r="A86" s="9">
        <v>91</v>
      </c>
      <c r="B86" s="9" t="s">
        <v>99</v>
      </c>
      <c r="C86" s="9">
        <v>1740</v>
      </c>
      <c r="D86" s="1" t="s">
        <v>85</v>
      </c>
      <c r="E86" s="52" t="s">
        <v>85</v>
      </c>
      <c r="F86" s="9">
        <v>0.12959999999999999</v>
      </c>
      <c r="G86" t="s">
        <v>40</v>
      </c>
      <c r="I86" t="s">
        <v>34</v>
      </c>
      <c r="K86" t="s">
        <v>30</v>
      </c>
      <c r="P86" t="s">
        <v>129</v>
      </c>
      <c r="R86" s="11"/>
      <c r="T86" s="11">
        <v>0.27623456790123457</v>
      </c>
      <c r="U86" s="11"/>
      <c r="V86" s="11"/>
      <c r="W86">
        <v>3.8</v>
      </c>
    </row>
    <row r="87" spans="1:23" x14ac:dyDescent="0.2">
      <c r="A87" s="9">
        <v>92</v>
      </c>
      <c r="B87" s="9" t="s">
        <v>100</v>
      </c>
      <c r="C87" s="9">
        <v>2019017</v>
      </c>
      <c r="D87" s="1" t="s">
        <v>90</v>
      </c>
      <c r="E87" s="52" t="s">
        <v>90</v>
      </c>
      <c r="F87" s="9">
        <v>0.17749999999999999</v>
      </c>
      <c r="G87" t="s">
        <v>27</v>
      </c>
      <c r="I87" t="s">
        <v>104</v>
      </c>
      <c r="K87" t="s">
        <v>30</v>
      </c>
      <c r="L87" t="s">
        <v>68</v>
      </c>
      <c r="P87" t="s">
        <v>129</v>
      </c>
      <c r="R87" s="11"/>
      <c r="T87" s="11">
        <v>2.9690140845070423</v>
      </c>
      <c r="U87" s="11">
        <v>32.059718309859157</v>
      </c>
      <c r="V87" s="11"/>
      <c r="W87" s="8">
        <v>36.4</v>
      </c>
    </row>
    <row r="88" spans="1:23" x14ac:dyDescent="0.2">
      <c r="A88" s="9">
        <v>93</v>
      </c>
      <c r="B88" s="9" t="s">
        <v>100</v>
      </c>
      <c r="C88" s="9">
        <v>2019017</v>
      </c>
      <c r="D88" s="1" t="s">
        <v>91</v>
      </c>
      <c r="E88" s="52" t="s">
        <v>91</v>
      </c>
      <c r="F88" s="9">
        <v>0.16189999999999999</v>
      </c>
      <c r="G88" t="s">
        <v>27</v>
      </c>
      <c r="I88" t="s">
        <v>104</v>
      </c>
      <c r="K88" t="s">
        <v>30</v>
      </c>
      <c r="P88" t="s">
        <v>129</v>
      </c>
      <c r="R88" s="11"/>
      <c r="T88" s="11">
        <v>0.89684990735021619</v>
      </c>
      <c r="U88" s="11">
        <v>16.945027794935147</v>
      </c>
      <c r="V88" s="11"/>
    </row>
    <row r="89" spans="1:23" x14ac:dyDescent="0.2">
      <c r="A89" s="9">
        <v>94</v>
      </c>
      <c r="B89" s="9" t="s">
        <v>100</v>
      </c>
      <c r="C89" s="9">
        <v>2019017</v>
      </c>
      <c r="D89" s="1" t="s">
        <v>85</v>
      </c>
      <c r="E89" s="52" t="s">
        <v>85</v>
      </c>
      <c r="F89" s="9">
        <v>0.2296</v>
      </c>
      <c r="G89" t="s">
        <v>27</v>
      </c>
      <c r="I89" t="s">
        <v>104</v>
      </c>
      <c r="K89" t="s">
        <v>30</v>
      </c>
      <c r="P89" t="s">
        <v>129</v>
      </c>
      <c r="R89" s="11"/>
      <c r="T89" s="11">
        <v>1.6062717770034844</v>
      </c>
      <c r="U89" s="11">
        <v>15.101045296167246</v>
      </c>
      <c r="V89" s="11"/>
    </row>
    <row r="90" spans="1:23" x14ac:dyDescent="0.2">
      <c r="A90" s="9">
        <v>95</v>
      </c>
      <c r="B90" s="22" t="s">
        <v>70</v>
      </c>
      <c r="C90" s="9">
        <v>190417</v>
      </c>
      <c r="D90" s="1" t="s">
        <v>90</v>
      </c>
      <c r="E90" s="52" t="s">
        <v>90</v>
      </c>
      <c r="F90" s="9">
        <v>0.19769999999999999</v>
      </c>
      <c r="G90" t="s">
        <v>27</v>
      </c>
      <c r="I90" t="s">
        <v>34</v>
      </c>
      <c r="K90" t="s">
        <v>30</v>
      </c>
      <c r="L90" t="s">
        <v>68</v>
      </c>
      <c r="P90" t="s">
        <v>129</v>
      </c>
      <c r="R90" s="11">
        <v>14.749620637329288</v>
      </c>
      <c r="T90" s="11">
        <v>0.52301466868993429</v>
      </c>
      <c r="U90" s="11">
        <v>1.8614061709661105</v>
      </c>
      <c r="V90" s="11"/>
      <c r="W90">
        <v>16.399999999999999</v>
      </c>
    </row>
    <row r="91" spans="1:23" x14ac:dyDescent="0.2">
      <c r="A91" s="9">
        <v>96</v>
      </c>
      <c r="B91" s="22" t="s">
        <v>70</v>
      </c>
      <c r="C91" s="9">
        <v>190417</v>
      </c>
      <c r="D91" s="1" t="s">
        <v>91</v>
      </c>
      <c r="E91" s="52" t="s">
        <v>91</v>
      </c>
      <c r="F91" s="9">
        <v>9.5699999999999993E-2</v>
      </c>
      <c r="G91" t="s">
        <v>27</v>
      </c>
      <c r="I91" t="s">
        <v>34</v>
      </c>
      <c r="K91" t="s">
        <v>30</v>
      </c>
      <c r="P91" t="s">
        <v>129</v>
      </c>
      <c r="R91" s="11">
        <v>7.3138975966562185</v>
      </c>
      <c r="T91" s="11">
        <v>1.5005224660397076</v>
      </c>
      <c r="U91" s="11">
        <v>0</v>
      </c>
      <c r="V91" s="11"/>
    </row>
    <row r="92" spans="1:23" x14ac:dyDescent="0.2">
      <c r="A92" s="9">
        <v>97</v>
      </c>
      <c r="B92" s="22" t="s">
        <v>70</v>
      </c>
      <c r="C92" s="9">
        <v>190417</v>
      </c>
      <c r="D92" s="1" t="s">
        <v>85</v>
      </c>
      <c r="E92" s="52" t="s">
        <v>85</v>
      </c>
      <c r="F92" s="9">
        <v>0.10249999999999999</v>
      </c>
      <c r="G92" t="s">
        <v>27</v>
      </c>
      <c r="I92" t="s">
        <v>34</v>
      </c>
      <c r="K92" t="s">
        <v>30</v>
      </c>
      <c r="P92" t="s">
        <v>129</v>
      </c>
      <c r="R92" s="11">
        <v>2.6360975609756099</v>
      </c>
      <c r="T92" s="11">
        <v>0.6634146341463415</v>
      </c>
      <c r="U92" s="11">
        <v>0</v>
      </c>
      <c r="V92" s="11"/>
      <c r="W92">
        <v>0.2</v>
      </c>
    </row>
    <row r="93" spans="1:23" x14ac:dyDescent="0.2">
      <c r="A93" s="9">
        <v>98</v>
      </c>
      <c r="B93" s="9" t="s">
        <v>99</v>
      </c>
      <c r="C93" s="9">
        <v>1727</v>
      </c>
      <c r="D93" s="1" t="s">
        <v>90</v>
      </c>
      <c r="E93" s="52" t="s">
        <v>90</v>
      </c>
      <c r="F93" s="9">
        <v>0.14829999999999999</v>
      </c>
      <c r="G93" t="s">
        <v>40</v>
      </c>
      <c r="I93" t="s">
        <v>34</v>
      </c>
      <c r="K93" t="s">
        <v>30</v>
      </c>
      <c r="L93" t="s">
        <v>68</v>
      </c>
      <c r="P93" t="s">
        <v>129</v>
      </c>
      <c r="R93" s="11"/>
      <c r="T93" s="11">
        <v>2.0782198246797035</v>
      </c>
      <c r="U93" s="11">
        <v>1.5158462575859746</v>
      </c>
      <c r="V93" s="11"/>
      <c r="W93" s="8">
        <v>4.1773888262236873</v>
      </c>
    </row>
    <row r="94" spans="1:23" x14ac:dyDescent="0.2">
      <c r="A94" s="9">
        <v>99</v>
      </c>
      <c r="B94" s="9" t="s">
        <v>99</v>
      </c>
      <c r="C94" s="9">
        <v>1727</v>
      </c>
      <c r="D94" s="1" t="s">
        <v>91</v>
      </c>
      <c r="E94" s="52" t="s">
        <v>91</v>
      </c>
      <c r="F94" s="9">
        <v>0.13650000000000001</v>
      </c>
      <c r="G94" t="s">
        <v>40</v>
      </c>
      <c r="I94" t="s">
        <v>34</v>
      </c>
      <c r="K94" t="s">
        <v>30</v>
      </c>
      <c r="P94" t="s">
        <v>129</v>
      </c>
      <c r="R94" s="11"/>
      <c r="T94" s="11">
        <v>1.5252747252747252</v>
      </c>
      <c r="U94" s="11">
        <v>0</v>
      </c>
      <c r="V94" s="11"/>
      <c r="W94" s="8">
        <v>1.3286624856844989</v>
      </c>
    </row>
    <row r="95" spans="1:23" x14ac:dyDescent="0.2">
      <c r="A95" s="9">
        <v>100</v>
      </c>
      <c r="B95" s="9" t="s">
        <v>99</v>
      </c>
      <c r="C95" s="9">
        <v>1727</v>
      </c>
      <c r="D95" s="1" t="s">
        <v>85</v>
      </c>
      <c r="E95" s="52" t="s">
        <v>85</v>
      </c>
      <c r="F95" s="9">
        <v>0.20780000000000001</v>
      </c>
      <c r="G95" t="s">
        <v>40</v>
      </c>
      <c r="I95" t="s">
        <v>34</v>
      </c>
      <c r="K95" t="s">
        <v>30</v>
      </c>
      <c r="P95" t="s">
        <v>129</v>
      </c>
      <c r="R95" s="11"/>
      <c r="T95" s="11">
        <v>0.70259865255052933</v>
      </c>
      <c r="U95" s="11">
        <v>0</v>
      </c>
      <c r="V95" s="11"/>
      <c r="W95" s="8">
        <v>5.7568800198925993</v>
      </c>
    </row>
    <row r="96" spans="1:23" x14ac:dyDescent="0.2">
      <c r="A96" s="9">
        <v>101</v>
      </c>
      <c r="B96" s="9" t="s">
        <v>99</v>
      </c>
      <c r="C96" t="s">
        <v>101</v>
      </c>
      <c r="D96" s="1" t="s">
        <v>90</v>
      </c>
      <c r="E96" s="52" t="s">
        <v>90</v>
      </c>
      <c r="F96" s="9">
        <v>0.16889999999999999</v>
      </c>
      <c r="G96" s="9" t="s">
        <v>27</v>
      </c>
      <c r="I96" t="s">
        <v>34</v>
      </c>
      <c r="K96" t="s">
        <v>30</v>
      </c>
      <c r="L96" t="s">
        <v>68</v>
      </c>
      <c r="P96" t="s">
        <v>129</v>
      </c>
      <c r="R96" s="11">
        <v>6.4597986974541142</v>
      </c>
      <c r="T96" s="11">
        <v>2.5920663114268798</v>
      </c>
      <c r="U96" s="11">
        <v>10.279455298993486</v>
      </c>
      <c r="V96" s="11"/>
      <c r="W96" s="8">
        <v>11.3</v>
      </c>
    </row>
    <row r="97" spans="1:23" x14ac:dyDescent="0.2">
      <c r="A97" s="9">
        <v>102</v>
      </c>
      <c r="B97" s="9" t="s">
        <v>99</v>
      </c>
      <c r="C97" t="s">
        <v>101</v>
      </c>
      <c r="D97" s="1" t="s">
        <v>91</v>
      </c>
      <c r="E97" s="52" t="s">
        <v>91</v>
      </c>
      <c r="F97" s="9">
        <v>0.1062</v>
      </c>
      <c r="G97" s="9" t="s">
        <v>27</v>
      </c>
      <c r="I97" t="s">
        <v>34</v>
      </c>
      <c r="K97" t="s">
        <v>30</v>
      </c>
      <c r="P97" t="s">
        <v>129</v>
      </c>
      <c r="R97" s="11">
        <v>9.7871939736346523</v>
      </c>
      <c r="T97" s="11">
        <v>0</v>
      </c>
      <c r="U97" s="11">
        <v>0</v>
      </c>
      <c r="V97" s="11"/>
    </row>
    <row r="98" spans="1:23" x14ac:dyDescent="0.2">
      <c r="A98" s="9">
        <v>103</v>
      </c>
      <c r="B98" s="9" t="s">
        <v>99</v>
      </c>
      <c r="C98" t="s">
        <v>101</v>
      </c>
      <c r="D98" s="1" t="s">
        <v>85</v>
      </c>
      <c r="E98" s="52" t="s">
        <v>85</v>
      </c>
      <c r="F98" s="9">
        <v>0.13650000000000001</v>
      </c>
      <c r="G98" s="9" t="s">
        <v>27</v>
      </c>
      <c r="I98" t="s">
        <v>34</v>
      </c>
      <c r="K98" t="s">
        <v>30</v>
      </c>
      <c r="P98" t="s">
        <v>129</v>
      </c>
      <c r="R98" s="11">
        <v>2.7364102564102559</v>
      </c>
      <c r="T98" s="11">
        <v>0</v>
      </c>
      <c r="U98" s="11">
        <v>0</v>
      </c>
      <c r="V98" s="11"/>
    </row>
    <row r="99" spans="1:23" x14ac:dyDescent="0.2">
      <c r="A99" s="9">
        <v>104</v>
      </c>
      <c r="B99" s="9" t="s">
        <v>102</v>
      </c>
      <c r="C99">
        <v>2018088</v>
      </c>
      <c r="D99" s="1" t="s">
        <v>93</v>
      </c>
      <c r="E99" s="52" t="s">
        <v>93</v>
      </c>
      <c r="F99" s="9">
        <v>0.2467</v>
      </c>
      <c r="G99" s="9" t="s">
        <v>27</v>
      </c>
      <c r="I99" t="s">
        <v>34</v>
      </c>
      <c r="K99" t="s">
        <v>108</v>
      </c>
      <c r="P99" t="s">
        <v>130</v>
      </c>
      <c r="R99" s="11"/>
      <c r="T99" s="11">
        <v>0</v>
      </c>
      <c r="U99" s="11">
        <v>0.43940008107012568</v>
      </c>
      <c r="V99" s="11"/>
    </row>
    <row r="100" spans="1:23" x14ac:dyDescent="0.2">
      <c r="A100" s="9">
        <v>105</v>
      </c>
      <c r="B100" s="9" t="s">
        <v>102</v>
      </c>
      <c r="C100">
        <v>2018088</v>
      </c>
      <c r="D100" s="1" t="s">
        <v>94</v>
      </c>
      <c r="E100" s="52" t="s">
        <v>94</v>
      </c>
      <c r="F100" s="9">
        <v>0.18579999999999999</v>
      </c>
      <c r="G100" s="9" t="s">
        <v>27</v>
      </c>
      <c r="I100" t="s">
        <v>34</v>
      </c>
      <c r="K100" t="s">
        <v>108</v>
      </c>
      <c r="P100" t="s">
        <v>130</v>
      </c>
      <c r="R100" s="11"/>
      <c r="T100" s="11">
        <v>0</v>
      </c>
      <c r="U100" s="11">
        <v>0</v>
      </c>
      <c r="V100" s="11"/>
    </row>
    <row r="101" spans="1:23" x14ac:dyDescent="0.2">
      <c r="A101" s="9">
        <v>106</v>
      </c>
      <c r="B101" s="9" t="s">
        <v>102</v>
      </c>
      <c r="C101">
        <v>2018088</v>
      </c>
      <c r="D101" s="1" t="s">
        <v>95</v>
      </c>
      <c r="E101" s="52" t="s">
        <v>95</v>
      </c>
      <c r="F101" s="9">
        <v>0.20810000000000001</v>
      </c>
      <c r="G101" s="9" t="s">
        <v>27</v>
      </c>
      <c r="I101" t="s">
        <v>34</v>
      </c>
      <c r="K101" t="s">
        <v>108</v>
      </c>
      <c r="L101" t="s">
        <v>68</v>
      </c>
      <c r="P101" t="s">
        <v>130</v>
      </c>
      <c r="R101" s="11"/>
      <c r="T101" s="11">
        <v>0</v>
      </c>
      <c r="U101" s="11">
        <v>1.1878904372897643</v>
      </c>
      <c r="V101" s="11"/>
    </row>
    <row r="102" spans="1:23" x14ac:dyDescent="0.2">
      <c r="A102" s="9">
        <v>107</v>
      </c>
      <c r="B102" s="9" t="s">
        <v>102</v>
      </c>
      <c r="C102">
        <v>2018088</v>
      </c>
      <c r="D102" s="1" t="s">
        <v>96</v>
      </c>
      <c r="E102" s="52" t="s">
        <v>96</v>
      </c>
      <c r="F102" s="9">
        <v>0.2838</v>
      </c>
      <c r="G102" s="9" t="s">
        <v>27</v>
      </c>
      <c r="I102" t="s">
        <v>34</v>
      </c>
      <c r="K102" t="s">
        <v>108</v>
      </c>
      <c r="P102" t="s">
        <v>130</v>
      </c>
      <c r="R102" s="11"/>
      <c r="T102" s="11">
        <v>8.1395348837209308E-2</v>
      </c>
      <c r="U102" s="11">
        <v>2.0408738548273435</v>
      </c>
      <c r="V102" s="11"/>
    </row>
    <row r="103" spans="1:23" x14ac:dyDescent="0.2">
      <c r="A103" s="9">
        <v>108</v>
      </c>
      <c r="B103" s="9" t="s">
        <v>102</v>
      </c>
      <c r="C103">
        <v>2019198</v>
      </c>
      <c r="D103" s="1" t="s">
        <v>90</v>
      </c>
      <c r="E103" s="52" t="s">
        <v>90</v>
      </c>
      <c r="F103" s="9">
        <v>0.20799999999999999</v>
      </c>
      <c r="G103" s="9" t="s">
        <v>40</v>
      </c>
      <c r="I103" t="s">
        <v>38</v>
      </c>
      <c r="K103" t="s">
        <v>30</v>
      </c>
      <c r="L103" t="s">
        <v>68</v>
      </c>
      <c r="P103" t="s">
        <v>130</v>
      </c>
      <c r="R103" s="11"/>
      <c r="T103" s="11">
        <v>0</v>
      </c>
      <c r="U103" s="11">
        <v>1.601923076923077</v>
      </c>
      <c r="V103" s="11"/>
    </row>
    <row r="104" spans="1:23" x14ac:dyDescent="0.2">
      <c r="A104" s="9">
        <v>109</v>
      </c>
      <c r="B104" s="9" t="s">
        <v>102</v>
      </c>
      <c r="C104">
        <v>2019198</v>
      </c>
      <c r="D104" s="1" t="s">
        <v>85</v>
      </c>
      <c r="E104" s="52" t="s">
        <v>85</v>
      </c>
      <c r="F104" s="9">
        <v>0.23980000000000001</v>
      </c>
      <c r="G104" s="9" t="s">
        <v>40</v>
      </c>
      <c r="I104" t="s">
        <v>38</v>
      </c>
      <c r="K104" t="s">
        <v>30</v>
      </c>
      <c r="P104" t="s">
        <v>130</v>
      </c>
      <c r="R104" s="11"/>
      <c r="T104" s="11">
        <v>0</v>
      </c>
      <c r="U104" s="11">
        <v>1.0258548790658881</v>
      </c>
      <c r="V104" s="11"/>
    </row>
    <row r="105" spans="1:23" x14ac:dyDescent="0.2">
      <c r="A105" s="9">
        <v>110</v>
      </c>
      <c r="B105" s="9" t="s">
        <v>102</v>
      </c>
      <c r="C105">
        <v>2018158</v>
      </c>
      <c r="D105" s="1" t="s">
        <v>90</v>
      </c>
      <c r="E105" s="52" t="s">
        <v>90</v>
      </c>
      <c r="F105" s="9">
        <v>0.14910000000000001</v>
      </c>
      <c r="G105" s="9" t="s">
        <v>27</v>
      </c>
      <c r="I105" t="s">
        <v>109</v>
      </c>
      <c r="K105" t="s">
        <v>108</v>
      </c>
      <c r="L105" t="s">
        <v>68</v>
      </c>
      <c r="P105" t="s">
        <v>130</v>
      </c>
      <c r="R105" s="11"/>
      <c r="T105" s="11">
        <v>0.58081824279007366</v>
      </c>
      <c r="U105" s="11">
        <v>0.7699530516431925</v>
      </c>
      <c r="V105" s="11"/>
      <c r="W105" s="8">
        <v>11.303004651620274</v>
      </c>
    </row>
    <row r="106" spans="1:23" x14ac:dyDescent="0.2">
      <c r="A106" s="9">
        <v>111</v>
      </c>
      <c r="B106" s="9" t="s">
        <v>102</v>
      </c>
      <c r="C106">
        <v>2018158</v>
      </c>
      <c r="D106" s="1" t="s">
        <v>85</v>
      </c>
      <c r="E106" s="52" t="s">
        <v>85</v>
      </c>
      <c r="F106" s="9">
        <v>0.1171</v>
      </c>
      <c r="G106" s="9" t="s">
        <v>27</v>
      </c>
      <c r="I106" t="s">
        <v>109</v>
      </c>
      <c r="K106" t="s">
        <v>108</v>
      </c>
      <c r="P106" t="s">
        <v>130</v>
      </c>
      <c r="R106" s="11"/>
      <c r="T106" s="11">
        <v>0</v>
      </c>
      <c r="U106" s="11">
        <v>0</v>
      </c>
      <c r="V106" s="11"/>
      <c r="W106" s="8">
        <v>27.5</v>
      </c>
    </row>
    <row r="107" spans="1:23" x14ac:dyDescent="0.2">
      <c r="A107" s="9">
        <v>112</v>
      </c>
      <c r="B107" s="9" t="s">
        <v>102</v>
      </c>
      <c r="C107">
        <v>2019031</v>
      </c>
      <c r="D107" s="1" t="s">
        <v>97</v>
      </c>
      <c r="E107" s="52" t="s">
        <v>97</v>
      </c>
      <c r="F107" s="9">
        <v>0.19550000000000001</v>
      </c>
      <c r="G107" s="9" t="s">
        <v>27</v>
      </c>
      <c r="I107" t="s">
        <v>34</v>
      </c>
      <c r="K107" t="s">
        <v>30</v>
      </c>
      <c r="P107" t="s">
        <v>130</v>
      </c>
      <c r="R107" s="11"/>
      <c r="T107" s="11">
        <v>0</v>
      </c>
      <c r="U107" s="11">
        <v>2.495140664961637</v>
      </c>
      <c r="V107" s="11"/>
    </row>
    <row r="108" spans="1:23" x14ac:dyDescent="0.2">
      <c r="A108" s="9">
        <v>113</v>
      </c>
      <c r="B108" s="9" t="s">
        <v>102</v>
      </c>
      <c r="C108">
        <v>2019031</v>
      </c>
      <c r="D108" s="1" t="s">
        <v>98</v>
      </c>
      <c r="E108" s="52" t="s">
        <v>98</v>
      </c>
      <c r="F108" s="9">
        <v>0.25140000000000001</v>
      </c>
      <c r="G108" s="9" t="s">
        <v>27</v>
      </c>
      <c r="I108" t="s">
        <v>34</v>
      </c>
      <c r="K108" t="s">
        <v>30</v>
      </c>
      <c r="P108" t="s">
        <v>130</v>
      </c>
      <c r="R108" s="11"/>
      <c r="T108" s="11">
        <v>0</v>
      </c>
      <c r="U108" s="11">
        <v>0</v>
      </c>
      <c r="V108" s="11"/>
    </row>
    <row r="109" spans="1:23" x14ac:dyDescent="0.2">
      <c r="A109" s="9">
        <v>114</v>
      </c>
      <c r="B109" s="9" t="s">
        <v>102</v>
      </c>
      <c r="C109">
        <v>2019031</v>
      </c>
      <c r="D109" s="1" t="s">
        <v>90</v>
      </c>
      <c r="E109" s="52" t="s">
        <v>90</v>
      </c>
      <c r="F109" s="9">
        <v>0.1714</v>
      </c>
      <c r="G109" s="9" t="s">
        <v>27</v>
      </c>
      <c r="I109" t="s">
        <v>34</v>
      </c>
      <c r="K109" t="s">
        <v>30</v>
      </c>
      <c r="L109" t="s">
        <v>68</v>
      </c>
      <c r="P109" t="s">
        <v>130</v>
      </c>
      <c r="R109" s="11"/>
      <c r="T109" s="11">
        <v>0</v>
      </c>
      <c r="U109" s="11">
        <v>4.8541423570595095</v>
      </c>
      <c r="V109" s="11"/>
      <c r="W109" s="8">
        <v>33.950000000000003</v>
      </c>
    </row>
    <row r="110" spans="1:23" x14ac:dyDescent="0.2">
      <c r="A110" s="9">
        <v>115</v>
      </c>
      <c r="B110" s="9" t="s">
        <v>102</v>
      </c>
      <c r="C110">
        <v>2019031</v>
      </c>
      <c r="D110" s="1" t="s">
        <v>85</v>
      </c>
      <c r="E110" s="52" t="s">
        <v>85</v>
      </c>
      <c r="F110" s="9">
        <v>0.14610000000000001</v>
      </c>
      <c r="G110" s="9" t="s">
        <v>27</v>
      </c>
      <c r="I110" t="s">
        <v>34</v>
      </c>
      <c r="K110" t="s">
        <v>30</v>
      </c>
      <c r="P110" t="s">
        <v>130</v>
      </c>
      <c r="R110" s="11"/>
      <c r="T110" s="11">
        <v>0.14099931553730324</v>
      </c>
      <c r="U110" s="11">
        <v>3.3483915126625599</v>
      </c>
      <c r="V110" s="11"/>
      <c r="W110" s="8">
        <v>0.57221172643075946</v>
      </c>
    </row>
    <row r="111" spans="1:23" x14ac:dyDescent="0.2">
      <c r="A111" s="9">
        <v>116</v>
      </c>
      <c r="B111" s="9" t="s">
        <v>102</v>
      </c>
      <c r="C111">
        <v>2019100</v>
      </c>
      <c r="D111" s="1" t="s">
        <v>90</v>
      </c>
      <c r="E111" s="52" t="s">
        <v>90</v>
      </c>
      <c r="F111" s="9">
        <v>0.2029</v>
      </c>
      <c r="G111" s="9" t="s">
        <v>40</v>
      </c>
      <c r="I111" t="s">
        <v>38</v>
      </c>
      <c r="K111" t="s">
        <v>30</v>
      </c>
      <c r="L111" t="s">
        <v>68</v>
      </c>
      <c r="P111" t="s">
        <v>130</v>
      </c>
      <c r="R111" s="11"/>
      <c r="T111" s="11">
        <v>0</v>
      </c>
      <c r="U111" s="11">
        <v>9.7092163627402659</v>
      </c>
      <c r="V111" s="11"/>
      <c r="W111" s="8">
        <v>15.46840129444278</v>
      </c>
    </row>
    <row r="112" spans="1:23" x14ac:dyDescent="0.2">
      <c r="A112" s="9">
        <v>117</v>
      </c>
      <c r="B112" s="9" t="s">
        <v>102</v>
      </c>
      <c r="C112">
        <v>2019100</v>
      </c>
      <c r="D112" s="1" t="s">
        <v>91</v>
      </c>
      <c r="E112" s="52" t="s">
        <v>91</v>
      </c>
      <c r="F112" s="9">
        <v>0.17419999999999999</v>
      </c>
      <c r="G112" s="9" t="s">
        <v>40</v>
      </c>
      <c r="I112" t="s">
        <v>38</v>
      </c>
      <c r="K112" t="s">
        <v>30</v>
      </c>
      <c r="P112" t="s">
        <v>130</v>
      </c>
      <c r="R112" s="11"/>
      <c r="T112" s="11">
        <v>0.23880597014925373</v>
      </c>
      <c r="U112" s="11">
        <v>2.8702640642939148</v>
      </c>
      <c r="V112" s="11"/>
      <c r="W112" s="8">
        <v>5.29</v>
      </c>
    </row>
    <row r="113" spans="1:23" x14ac:dyDescent="0.2">
      <c r="A113" s="9">
        <v>118</v>
      </c>
      <c r="B113" s="9" t="s">
        <v>102</v>
      </c>
      <c r="C113">
        <v>2019100</v>
      </c>
      <c r="D113" s="1" t="s">
        <v>85</v>
      </c>
      <c r="E113" s="52" t="s">
        <v>85</v>
      </c>
      <c r="F113" s="9">
        <v>0.30380000000000001</v>
      </c>
      <c r="G113" s="9" t="s">
        <v>40</v>
      </c>
      <c r="I113" t="s">
        <v>38</v>
      </c>
      <c r="K113" t="s">
        <v>30</v>
      </c>
      <c r="P113" t="s">
        <v>130</v>
      </c>
      <c r="R113" s="11"/>
      <c r="T113" s="11">
        <v>0</v>
      </c>
      <c r="U113" s="11">
        <v>10.868992758393679</v>
      </c>
      <c r="V113" s="11"/>
      <c r="W113" s="8">
        <v>0.28000000000000003</v>
      </c>
    </row>
    <row r="114" spans="1:23" x14ac:dyDescent="0.2">
      <c r="A114" s="9">
        <v>119</v>
      </c>
      <c r="B114" s="9" t="s">
        <v>102</v>
      </c>
      <c r="C114">
        <v>2019018</v>
      </c>
      <c r="D114" s="1" t="s">
        <v>90</v>
      </c>
      <c r="E114" s="52" t="s">
        <v>90</v>
      </c>
      <c r="F114" s="9">
        <v>0.24590000000000001</v>
      </c>
      <c r="G114" t="s">
        <v>40</v>
      </c>
      <c r="I114" t="s">
        <v>34</v>
      </c>
      <c r="K114" t="s">
        <v>30</v>
      </c>
      <c r="L114" t="s">
        <v>68</v>
      </c>
      <c r="P114" t="s">
        <v>130</v>
      </c>
      <c r="R114" s="11"/>
      <c r="T114" s="11">
        <v>0.4611630744204962</v>
      </c>
      <c r="U114" s="11">
        <v>10.326148840992273</v>
      </c>
      <c r="V114" s="11"/>
      <c r="W114" s="8">
        <v>56.92</v>
      </c>
    </row>
    <row r="115" spans="1:23" x14ac:dyDescent="0.2">
      <c r="A115" s="9">
        <v>120</v>
      </c>
      <c r="B115" s="9" t="s">
        <v>102</v>
      </c>
      <c r="C115">
        <v>2019018</v>
      </c>
      <c r="D115" s="1" t="s">
        <v>91</v>
      </c>
      <c r="E115" s="52" t="s">
        <v>91</v>
      </c>
      <c r="F115" s="9">
        <v>0.32440000000000002</v>
      </c>
      <c r="G115" t="s">
        <v>40</v>
      </c>
      <c r="I115" t="s">
        <v>34</v>
      </c>
      <c r="K115" t="s">
        <v>30</v>
      </c>
      <c r="P115" t="s">
        <v>130</v>
      </c>
      <c r="R115" s="11"/>
      <c r="T115" s="11">
        <v>0</v>
      </c>
      <c r="U115" s="11">
        <v>10.956843403205918</v>
      </c>
      <c r="V115" s="11"/>
      <c r="W115" s="8">
        <v>8.2881896208094474</v>
      </c>
    </row>
    <row r="116" spans="1:23" x14ac:dyDescent="0.2">
      <c r="A116" s="9">
        <v>121</v>
      </c>
      <c r="B116" s="9" t="s">
        <v>102</v>
      </c>
      <c r="C116">
        <v>2019018</v>
      </c>
      <c r="D116" s="1" t="s">
        <v>85</v>
      </c>
      <c r="E116" s="52" t="s">
        <v>85</v>
      </c>
      <c r="F116" s="9">
        <v>0.1434</v>
      </c>
      <c r="G116" t="s">
        <v>40</v>
      </c>
      <c r="I116" t="s">
        <v>34</v>
      </c>
      <c r="K116" t="s">
        <v>30</v>
      </c>
      <c r="P116" t="s">
        <v>130</v>
      </c>
      <c r="R116" s="11"/>
      <c r="T116" s="11">
        <v>0</v>
      </c>
      <c r="U116" s="11">
        <v>5.7182705718270572</v>
      </c>
      <c r="V116" s="11"/>
      <c r="W116" s="8">
        <v>2.1483067179708071</v>
      </c>
    </row>
    <row r="117" spans="1:23" x14ac:dyDescent="0.2">
      <c r="A117" s="9">
        <v>122</v>
      </c>
      <c r="B117" s="9" t="s">
        <v>102</v>
      </c>
      <c r="C117">
        <v>2017109</v>
      </c>
      <c r="D117" s="1" t="s">
        <v>90</v>
      </c>
      <c r="E117" s="1" t="s">
        <v>90</v>
      </c>
      <c r="F117" s="9">
        <v>0.14560000000000001</v>
      </c>
      <c r="G117" t="s">
        <v>31</v>
      </c>
      <c r="K117" t="s">
        <v>108</v>
      </c>
      <c r="L117" t="s">
        <v>68</v>
      </c>
      <c r="P117" t="s">
        <v>130</v>
      </c>
      <c r="R117" s="11"/>
      <c r="T117" s="11">
        <v>0.11401098901098902</v>
      </c>
      <c r="U117" s="11">
        <v>2.8296703296703294</v>
      </c>
      <c r="V117" s="11"/>
    </row>
    <row r="118" spans="1:23" x14ac:dyDescent="0.2">
      <c r="A118" s="9">
        <v>123</v>
      </c>
      <c r="B118" s="9" t="s">
        <v>102</v>
      </c>
      <c r="C118">
        <v>2017109</v>
      </c>
      <c r="D118" s="1" t="s">
        <v>85</v>
      </c>
      <c r="E118" s="1" t="s">
        <v>85</v>
      </c>
      <c r="F118" s="9">
        <v>0.20069999999999999</v>
      </c>
      <c r="G118" t="s">
        <v>31</v>
      </c>
      <c r="K118" t="s">
        <v>108</v>
      </c>
      <c r="P118" t="s">
        <v>140</v>
      </c>
      <c r="R118" s="11"/>
      <c r="T118" s="11">
        <v>0</v>
      </c>
      <c r="U118" s="11">
        <v>1.2595914299950175</v>
      </c>
      <c r="V118" s="11"/>
    </row>
  </sheetData>
  <autoFilter ref="A1:AE118" xr:uid="{B3809A8B-4C8E-CB4A-B770-E980EB4BB2FD}">
    <sortState xmlns:xlrd2="http://schemas.microsoft.com/office/spreadsheetml/2017/richdata2" ref="A2:AE118">
      <sortCondition ref="A1:A118"/>
    </sortState>
  </autoFilter>
  <pageMargins left="0.7" right="0.7" top="0.75" bottom="0.75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63A8-A00C-4D41-9AEE-F12700B6422C}">
  <dimension ref="A1:F39"/>
  <sheetViews>
    <sheetView workbookViewId="0">
      <selection activeCell="B14" sqref="B14"/>
    </sheetView>
  </sheetViews>
  <sheetFormatPr baseColWidth="10" defaultRowHeight="16" x14ac:dyDescent="0.2"/>
  <cols>
    <col min="2" max="2" width="22" customWidth="1"/>
  </cols>
  <sheetData>
    <row r="1" spans="1:6" ht="17" thickBot="1" x14ac:dyDescent="0.25">
      <c r="A1" t="s">
        <v>176</v>
      </c>
    </row>
    <row r="2" spans="1:6" ht="33" thickBot="1" x14ac:dyDescent="0.25">
      <c r="A2" s="59"/>
      <c r="B2" s="60" t="s">
        <v>141</v>
      </c>
      <c r="C2" s="60" t="s">
        <v>142</v>
      </c>
      <c r="D2" s="60" t="s">
        <v>143</v>
      </c>
      <c r="E2" s="60" t="s">
        <v>144</v>
      </c>
      <c r="F2" s="60" t="s">
        <v>103</v>
      </c>
    </row>
    <row r="3" spans="1:6" ht="17" thickBot="1" x14ac:dyDescent="0.25">
      <c r="A3" s="61">
        <v>1</v>
      </c>
      <c r="B3" s="63" t="s">
        <v>145</v>
      </c>
      <c r="C3" s="63" t="s">
        <v>146</v>
      </c>
      <c r="D3" s="64">
        <v>43279</v>
      </c>
      <c r="E3" s="63" t="s">
        <v>129</v>
      </c>
      <c r="F3" s="63"/>
    </row>
    <row r="4" spans="1:6" ht="17" thickBot="1" x14ac:dyDescent="0.25">
      <c r="A4" s="61">
        <v>2</v>
      </c>
      <c r="B4" s="63" t="s">
        <v>147</v>
      </c>
      <c r="C4" s="63" t="s">
        <v>146</v>
      </c>
      <c r="D4" s="64">
        <v>43228</v>
      </c>
      <c r="E4" s="63" t="s">
        <v>129</v>
      </c>
      <c r="F4" s="63"/>
    </row>
    <row r="5" spans="1:6" ht="17" thickBot="1" x14ac:dyDescent="0.25">
      <c r="A5" s="61">
        <v>3</v>
      </c>
      <c r="B5" s="63" t="s">
        <v>148</v>
      </c>
      <c r="C5" s="63" t="s">
        <v>146</v>
      </c>
      <c r="D5" s="64">
        <v>43210</v>
      </c>
      <c r="E5" s="63" t="s">
        <v>129</v>
      </c>
      <c r="F5" s="63"/>
    </row>
    <row r="6" spans="1:6" ht="17" thickBot="1" x14ac:dyDescent="0.25">
      <c r="A6" s="61">
        <v>4</v>
      </c>
      <c r="B6" s="63" t="s">
        <v>149</v>
      </c>
      <c r="C6" s="63" t="s">
        <v>146</v>
      </c>
      <c r="D6" s="64">
        <v>43205</v>
      </c>
      <c r="E6" s="63" t="s">
        <v>129</v>
      </c>
      <c r="F6" s="63"/>
    </row>
    <row r="7" spans="1:6" ht="17" thickBot="1" x14ac:dyDescent="0.25">
      <c r="A7" s="61">
        <v>5</v>
      </c>
      <c r="B7" s="63" t="s">
        <v>150</v>
      </c>
      <c r="C7" s="63" t="s">
        <v>146</v>
      </c>
      <c r="D7" s="64">
        <v>42935</v>
      </c>
      <c r="E7" s="63" t="s">
        <v>129</v>
      </c>
      <c r="F7" s="63"/>
    </row>
    <row r="8" spans="1:6" ht="17" thickBot="1" x14ac:dyDescent="0.25">
      <c r="A8" s="61">
        <v>6</v>
      </c>
      <c r="B8" s="63" t="s">
        <v>151</v>
      </c>
      <c r="C8" s="63" t="s">
        <v>146</v>
      </c>
      <c r="D8" s="64">
        <v>42879</v>
      </c>
      <c r="E8" s="63" t="s">
        <v>129</v>
      </c>
      <c r="F8" s="63"/>
    </row>
    <row r="9" spans="1:6" ht="17" thickBot="1" x14ac:dyDescent="0.25">
      <c r="A9" s="61">
        <v>7</v>
      </c>
      <c r="B9" s="63" t="s">
        <v>152</v>
      </c>
      <c r="C9" s="63" t="s">
        <v>146</v>
      </c>
      <c r="D9" s="64">
        <v>42865</v>
      </c>
      <c r="E9" s="63" t="s">
        <v>129</v>
      </c>
      <c r="F9" s="63"/>
    </row>
    <row r="10" spans="1:6" ht="17" thickBot="1" x14ac:dyDescent="0.25">
      <c r="A10" s="61">
        <v>8</v>
      </c>
      <c r="B10" s="63" t="s">
        <v>153</v>
      </c>
      <c r="C10" s="63" t="s">
        <v>146</v>
      </c>
      <c r="D10" s="64">
        <v>42857</v>
      </c>
      <c r="E10" s="63" t="s">
        <v>129</v>
      </c>
      <c r="F10" s="63"/>
    </row>
    <row r="11" spans="1:6" ht="17" thickBot="1" x14ac:dyDescent="0.25">
      <c r="A11" s="61">
        <v>9</v>
      </c>
      <c r="B11" s="63" t="s">
        <v>154</v>
      </c>
      <c r="C11" s="63" t="s">
        <v>146</v>
      </c>
      <c r="D11" s="64">
        <v>42490</v>
      </c>
      <c r="E11" s="63" t="s">
        <v>129</v>
      </c>
      <c r="F11" s="63"/>
    </row>
    <row r="12" spans="1:6" ht="17" thickBot="1" x14ac:dyDescent="0.25">
      <c r="A12" s="61">
        <v>10</v>
      </c>
      <c r="B12" s="63" t="s">
        <v>155</v>
      </c>
      <c r="C12" s="63" t="s">
        <v>146</v>
      </c>
      <c r="D12" s="64">
        <v>41871</v>
      </c>
      <c r="E12" s="63" t="s">
        <v>129</v>
      </c>
      <c r="F12" s="63"/>
    </row>
    <row r="13" spans="1:6" ht="17" thickBot="1" x14ac:dyDescent="0.25">
      <c r="A13" s="61">
        <v>11</v>
      </c>
      <c r="B13" s="65" t="s">
        <v>156</v>
      </c>
      <c r="C13" s="65" t="s">
        <v>146</v>
      </c>
      <c r="D13" s="66">
        <v>41485</v>
      </c>
      <c r="E13" s="65" t="s">
        <v>129</v>
      </c>
      <c r="F13" s="63"/>
    </row>
    <row r="14" spans="1:6" ht="17" thickBot="1" x14ac:dyDescent="0.25">
      <c r="A14" s="61">
        <v>12</v>
      </c>
      <c r="B14" s="63" t="s">
        <v>157</v>
      </c>
      <c r="C14" s="63" t="s">
        <v>146</v>
      </c>
      <c r="D14" s="64">
        <v>40751</v>
      </c>
      <c r="E14" s="63" t="s">
        <v>129</v>
      </c>
      <c r="F14" s="63"/>
    </row>
    <row r="15" spans="1:6" ht="17" thickBot="1" x14ac:dyDescent="0.25">
      <c r="A15" s="61">
        <v>13</v>
      </c>
      <c r="B15" s="63" t="s">
        <v>158</v>
      </c>
      <c r="C15" s="63" t="s">
        <v>146</v>
      </c>
      <c r="D15" s="64">
        <v>40653</v>
      </c>
      <c r="E15" s="63" t="s">
        <v>129</v>
      </c>
      <c r="F15" s="63"/>
    </row>
    <row r="16" spans="1:6" ht="17" thickBot="1" x14ac:dyDescent="0.25">
      <c r="A16" s="61">
        <v>14</v>
      </c>
      <c r="B16" s="65" t="s">
        <v>159</v>
      </c>
      <c r="C16" s="65" t="s">
        <v>146</v>
      </c>
      <c r="D16" s="66">
        <v>40282</v>
      </c>
      <c r="E16" s="65" t="s">
        <v>129</v>
      </c>
      <c r="F16" s="63"/>
    </row>
    <row r="17" spans="1:6" ht="17" thickBot="1" x14ac:dyDescent="0.25">
      <c r="A17" s="61">
        <v>15</v>
      </c>
      <c r="B17" s="67" t="s">
        <v>160</v>
      </c>
      <c r="C17" s="65" t="s">
        <v>146</v>
      </c>
      <c r="D17" s="68">
        <v>43519</v>
      </c>
      <c r="E17" s="65" t="s">
        <v>129</v>
      </c>
      <c r="F17" s="63" t="s">
        <v>161</v>
      </c>
    </row>
    <row r="18" spans="1:6" ht="17" thickBot="1" x14ac:dyDescent="0.25">
      <c r="A18" s="61">
        <v>16</v>
      </c>
      <c r="B18" s="67" t="s">
        <v>162</v>
      </c>
      <c r="C18" s="65" t="s">
        <v>146</v>
      </c>
      <c r="D18" s="68">
        <v>43569</v>
      </c>
      <c r="E18" s="65" t="s">
        <v>129</v>
      </c>
      <c r="F18" s="63" t="s">
        <v>161</v>
      </c>
    </row>
    <row r="19" spans="1:6" ht="17" thickBot="1" x14ac:dyDescent="0.25">
      <c r="A19" s="61">
        <v>17</v>
      </c>
      <c r="B19" s="67" t="s">
        <v>163</v>
      </c>
      <c r="C19" s="65" t="s">
        <v>146</v>
      </c>
      <c r="D19" s="68">
        <v>43573</v>
      </c>
      <c r="E19" s="65" t="s">
        <v>129</v>
      </c>
      <c r="F19" s="63" t="s">
        <v>161</v>
      </c>
    </row>
    <row r="20" spans="1:6" ht="17" thickBot="1" x14ac:dyDescent="0.25">
      <c r="A20" s="61">
        <v>18</v>
      </c>
      <c r="B20" s="67" t="s">
        <v>164</v>
      </c>
      <c r="C20" s="65" t="s">
        <v>146</v>
      </c>
      <c r="D20" s="68">
        <v>43557</v>
      </c>
      <c r="E20" s="65" t="s">
        <v>129</v>
      </c>
      <c r="F20" s="63" t="s">
        <v>161</v>
      </c>
    </row>
    <row r="21" spans="1:6" ht="17" thickBot="1" x14ac:dyDescent="0.25">
      <c r="A21" s="61">
        <v>19</v>
      </c>
      <c r="B21" s="67" t="s">
        <v>165</v>
      </c>
      <c r="C21" s="65" t="s">
        <v>146</v>
      </c>
      <c r="D21" s="68">
        <v>43572</v>
      </c>
      <c r="E21" s="65" t="s">
        <v>129</v>
      </c>
      <c r="F21" s="63" t="s">
        <v>161</v>
      </c>
    </row>
    <row r="22" spans="1:6" ht="17" thickBot="1" x14ac:dyDescent="0.25">
      <c r="A22" s="61">
        <v>20</v>
      </c>
      <c r="B22" s="67" t="s">
        <v>166</v>
      </c>
      <c r="C22" s="65" t="s">
        <v>146</v>
      </c>
      <c r="D22" s="68">
        <v>43585</v>
      </c>
      <c r="E22" s="65" t="s">
        <v>129</v>
      </c>
      <c r="F22" s="63" t="s">
        <v>161</v>
      </c>
    </row>
    <row r="23" spans="1:6" ht="17" thickBot="1" x14ac:dyDescent="0.25">
      <c r="A23" s="61">
        <v>21</v>
      </c>
      <c r="B23" s="67" t="s">
        <v>101</v>
      </c>
      <c r="C23" s="65" t="s">
        <v>146</v>
      </c>
      <c r="D23" s="68">
        <v>43590</v>
      </c>
      <c r="E23" s="65" t="s">
        <v>129</v>
      </c>
      <c r="F23" s="63" t="s">
        <v>161</v>
      </c>
    </row>
    <row r="24" spans="1:6" ht="17" thickBot="1" x14ac:dyDescent="0.25">
      <c r="A24" s="61">
        <v>22</v>
      </c>
      <c r="B24" s="67" t="s">
        <v>167</v>
      </c>
      <c r="C24" s="65" t="s">
        <v>146</v>
      </c>
      <c r="D24" s="68">
        <v>43594</v>
      </c>
      <c r="E24" s="65" t="s">
        <v>129</v>
      </c>
      <c r="F24" s="63" t="s">
        <v>161</v>
      </c>
    </row>
    <row r="25" spans="1:6" ht="17" thickBot="1" x14ac:dyDescent="0.25">
      <c r="A25" s="61">
        <v>23</v>
      </c>
      <c r="B25" s="67" t="s">
        <v>168</v>
      </c>
      <c r="C25" s="65" t="s">
        <v>146</v>
      </c>
      <c r="D25" s="68">
        <v>43600</v>
      </c>
      <c r="E25" s="65" t="s">
        <v>129</v>
      </c>
      <c r="F25" s="63" t="s">
        <v>161</v>
      </c>
    </row>
    <row r="26" spans="1:6" ht="17" thickBot="1" x14ac:dyDescent="0.25">
      <c r="A26" s="61">
        <v>24</v>
      </c>
      <c r="B26" s="67" t="s">
        <v>169</v>
      </c>
      <c r="C26" s="65" t="s">
        <v>146</v>
      </c>
      <c r="D26" s="68">
        <v>43601</v>
      </c>
      <c r="E26" s="65" t="s">
        <v>129</v>
      </c>
      <c r="F26" s="63" t="s">
        <v>161</v>
      </c>
    </row>
    <row r="27" spans="1:6" ht="17" thickBot="1" x14ac:dyDescent="0.25">
      <c r="A27" s="61">
        <v>25</v>
      </c>
      <c r="B27" s="67" t="s">
        <v>170</v>
      </c>
      <c r="C27" s="65" t="s">
        <v>146</v>
      </c>
      <c r="D27" s="68">
        <v>43611</v>
      </c>
      <c r="E27" s="65" t="s">
        <v>129</v>
      </c>
      <c r="F27" s="63" t="s">
        <v>161</v>
      </c>
    </row>
    <row r="28" spans="1:6" ht="17" thickBot="1" x14ac:dyDescent="0.25">
      <c r="A28" s="61">
        <v>26</v>
      </c>
      <c r="B28" s="67" t="s">
        <v>171</v>
      </c>
      <c r="C28" s="65" t="s">
        <v>146</v>
      </c>
      <c r="D28" s="68">
        <v>43617</v>
      </c>
      <c r="E28" s="65" t="s">
        <v>129</v>
      </c>
      <c r="F28" s="63" t="s">
        <v>161</v>
      </c>
    </row>
    <row r="29" spans="1:6" ht="17" thickBot="1" x14ac:dyDescent="0.25">
      <c r="A29" s="61">
        <v>27</v>
      </c>
      <c r="B29" s="67" t="s">
        <v>172</v>
      </c>
      <c r="C29" s="65" t="s">
        <v>146</v>
      </c>
      <c r="D29" s="68">
        <v>43619</v>
      </c>
      <c r="E29" s="65" t="s">
        <v>129</v>
      </c>
      <c r="F29" s="63" t="s">
        <v>161</v>
      </c>
    </row>
    <row r="30" spans="1:6" ht="17" thickBot="1" x14ac:dyDescent="0.25">
      <c r="A30" s="61">
        <v>28</v>
      </c>
      <c r="B30" s="67" t="s">
        <v>173</v>
      </c>
      <c r="C30" s="65" t="s">
        <v>146</v>
      </c>
      <c r="D30" s="68">
        <v>43652</v>
      </c>
      <c r="E30" s="65" t="s">
        <v>129</v>
      </c>
      <c r="F30" s="63" t="s">
        <v>161</v>
      </c>
    </row>
    <row r="31" spans="1:6" ht="18" thickBot="1" x14ac:dyDescent="0.25">
      <c r="A31" s="61">
        <v>29</v>
      </c>
      <c r="B31" s="70">
        <v>2017109</v>
      </c>
      <c r="C31" s="72" t="s">
        <v>146</v>
      </c>
      <c r="D31" s="74">
        <v>42944</v>
      </c>
      <c r="E31" s="71" t="s">
        <v>130</v>
      </c>
      <c r="F31" s="71"/>
    </row>
    <row r="32" spans="1:6" ht="18" thickBot="1" x14ac:dyDescent="0.25">
      <c r="A32" s="61">
        <v>30</v>
      </c>
      <c r="B32" s="61">
        <v>2018088</v>
      </c>
      <c r="C32" s="63" t="s">
        <v>146</v>
      </c>
      <c r="D32" s="75">
        <v>43279</v>
      </c>
      <c r="E32" s="62" t="s">
        <v>130</v>
      </c>
      <c r="F32" s="62"/>
    </row>
    <row r="33" spans="1:6" ht="18" thickBot="1" x14ac:dyDescent="0.25">
      <c r="A33" s="61">
        <v>31</v>
      </c>
      <c r="B33" s="61">
        <v>2018158</v>
      </c>
      <c r="C33" s="63" t="s">
        <v>146</v>
      </c>
      <c r="D33" s="75">
        <v>43314</v>
      </c>
      <c r="E33" s="62" t="s">
        <v>130</v>
      </c>
      <c r="F33" s="62"/>
    </row>
    <row r="34" spans="1:6" ht="18" thickBot="1" x14ac:dyDescent="0.25">
      <c r="A34" s="61">
        <v>32</v>
      </c>
      <c r="B34" s="61">
        <v>2019031</v>
      </c>
      <c r="C34" s="63" t="s">
        <v>146</v>
      </c>
      <c r="D34" s="75">
        <v>43599</v>
      </c>
      <c r="E34" s="62" t="s">
        <v>130</v>
      </c>
      <c r="F34" s="62" t="s">
        <v>161</v>
      </c>
    </row>
    <row r="35" spans="1:6" ht="18" thickBot="1" x14ac:dyDescent="0.25">
      <c r="A35" s="61">
        <v>33</v>
      </c>
      <c r="B35" s="61">
        <v>2019100</v>
      </c>
      <c r="C35" s="63" t="s">
        <v>146</v>
      </c>
      <c r="D35" s="75">
        <v>43632</v>
      </c>
      <c r="E35" s="62" t="s">
        <v>130</v>
      </c>
      <c r="F35" s="62" t="s">
        <v>161</v>
      </c>
    </row>
    <row r="36" spans="1:6" ht="18" thickBot="1" x14ac:dyDescent="0.25">
      <c r="A36" s="61">
        <v>34</v>
      </c>
      <c r="B36" s="61">
        <v>2019018</v>
      </c>
      <c r="C36" s="63" t="s">
        <v>146</v>
      </c>
      <c r="D36" s="75">
        <v>43594</v>
      </c>
      <c r="E36" s="62" t="s">
        <v>130</v>
      </c>
      <c r="F36" s="62" t="s">
        <v>161</v>
      </c>
    </row>
    <row r="38" spans="1:6" ht="17" thickBot="1" x14ac:dyDescent="0.25">
      <c r="A38" t="s">
        <v>175</v>
      </c>
    </row>
    <row r="39" spans="1:6" ht="35" thickBot="1" x14ac:dyDescent="0.25">
      <c r="B39" s="69">
        <v>2018046</v>
      </c>
      <c r="C39" s="71" t="s">
        <v>174</v>
      </c>
      <c r="D39" s="73">
        <v>43247</v>
      </c>
      <c r="E39" s="71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1FEC-0238-9A46-8574-AAD374C18F5B}">
  <sheetPr codeName="Sheet3"/>
  <dimension ref="A1:I39"/>
  <sheetViews>
    <sheetView workbookViewId="0">
      <selection activeCell="H10" sqref="H10:I12"/>
    </sheetView>
  </sheetViews>
  <sheetFormatPr baseColWidth="10" defaultRowHeight="16" x14ac:dyDescent="0.2"/>
  <cols>
    <col min="2" max="2" width="22.33203125" customWidth="1"/>
    <col min="3" max="3" width="22.33203125" style="1" customWidth="1"/>
    <col min="8" max="8" width="24.5" customWidth="1"/>
    <col min="9" max="9" width="25.1640625" customWidth="1"/>
  </cols>
  <sheetData>
    <row r="1" spans="1:9" x14ac:dyDescent="0.2">
      <c r="A1" t="s">
        <v>0</v>
      </c>
      <c r="B1" t="s">
        <v>1</v>
      </c>
      <c r="C1" s="1" t="s">
        <v>6</v>
      </c>
      <c r="D1" t="s">
        <v>2</v>
      </c>
      <c r="E1" t="s">
        <v>3</v>
      </c>
      <c r="F1" t="s">
        <v>4</v>
      </c>
      <c r="G1" t="s">
        <v>29</v>
      </c>
      <c r="H1" t="s">
        <v>5</v>
      </c>
      <c r="I1" t="s">
        <v>23</v>
      </c>
    </row>
    <row r="2" spans="1:9" x14ac:dyDescent="0.2">
      <c r="A2">
        <v>1</v>
      </c>
      <c r="B2">
        <v>1429</v>
      </c>
      <c r="C2" s="1" t="s">
        <v>7</v>
      </c>
      <c r="D2">
        <v>0.50780000000000003</v>
      </c>
      <c r="E2" t="s">
        <v>27</v>
      </c>
      <c r="F2" t="s">
        <v>28</v>
      </c>
      <c r="G2" t="s">
        <v>30</v>
      </c>
      <c r="H2" t="s">
        <v>31</v>
      </c>
      <c r="I2" t="s">
        <v>32</v>
      </c>
    </row>
    <row r="3" spans="1:9" x14ac:dyDescent="0.2">
      <c r="A3">
        <v>2</v>
      </c>
      <c r="B3">
        <v>1429</v>
      </c>
      <c r="C3" s="1" t="s">
        <v>8</v>
      </c>
      <c r="D3">
        <v>0.5746</v>
      </c>
      <c r="E3" t="s">
        <v>27</v>
      </c>
      <c r="F3" t="s">
        <v>28</v>
      </c>
      <c r="G3" t="s">
        <v>30</v>
      </c>
      <c r="H3" t="s">
        <v>31</v>
      </c>
      <c r="I3" t="s">
        <v>32</v>
      </c>
    </row>
    <row r="4" spans="1:9" x14ac:dyDescent="0.2">
      <c r="A4">
        <v>3</v>
      </c>
      <c r="B4">
        <v>1429</v>
      </c>
      <c r="C4" s="1" t="s">
        <v>9</v>
      </c>
      <c r="D4">
        <v>0.35510000000000003</v>
      </c>
      <c r="E4" t="s">
        <v>27</v>
      </c>
      <c r="F4" t="s">
        <v>28</v>
      </c>
      <c r="G4" t="s">
        <v>30</v>
      </c>
      <c r="H4" t="s">
        <v>31</v>
      </c>
      <c r="I4" t="s">
        <v>32</v>
      </c>
    </row>
    <row r="5" spans="1:9" x14ac:dyDescent="0.2">
      <c r="A5">
        <v>4</v>
      </c>
      <c r="B5">
        <v>1149</v>
      </c>
      <c r="C5" s="1" t="s">
        <v>7</v>
      </c>
      <c r="D5">
        <v>0.21290000000000001</v>
      </c>
      <c r="E5" t="s">
        <v>27</v>
      </c>
      <c r="F5" t="s">
        <v>33</v>
      </c>
      <c r="G5" t="s">
        <v>34</v>
      </c>
      <c r="H5" t="s">
        <v>35</v>
      </c>
    </row>
    <row r="6" spans="1:9" x14ac:dyDescent="0.2">
      <c r="A6">
        <v>5</v>
      </c>
      <c r="B6">
        <v>1149</v>
      </c>
      <c r="C6" s="1" t="s">
        <v>10</v>
      </c>
      <c r="D6">
        <v>0.22189999999999999</v>
      </c>
      <c r="E6" t="s">
        <v>27</v>
      </c>
      <c r="F6" t="s">
        <v>33</v>
      </c>
      <c r="G6" t="s">
        <v>34</v>
      </c>
      <c r="H6" t="s">
        <v>35</v>
      </c>
    </row>
    <row r="7" spans="1:9" x14ac:dyDescent="0.2">
      <c r="A7" s="3">
        <v>6</v>
      </c>
      <c r="B7" s="3">
        <v>1652</v>
      </c>
      <c r="C7" s="4" t="s">
        <v>7</v>
      </c>
      <c r="D7" s="3">
        <v>0.42520000000000002</v>
      </c>
      <c r="E7" s="3" t="s">
        <v>27</v>
      </c>
      <c r="F7" s="3" t="s">
        <v>36</v>
      </c>
      <c r="G7" s="3" t="s">
        <v>34</v>
      </c>
      <c r="H7" s="3" t="s">
        <v>31</v>
      </c>
      <c r="I7" s="3" t="s">
        <v>32</v>
      </c>
    </row>
    <row r="8" spans="1:9" x14ac:dyDescent="0.2">
      <c r="A8" s="3">
        <v>7</v>
      </c>
      <c r="B8" s="3">
        <v>1652</v>
      </c>
      <c r="C8" s="4" t="s">
        <v>11</v>
      </c>
      <c r="D8" s="3">
        <v>0.45519999999999999</v>
      </c>
      <c r="E8" s="3" t="s">
        <v>27</v>
      </c>
      <c r="F8" s="3" t="s">
        <v>36</v>
      </c>
      <c r="G8" s="3" t="s">
        <v>34</v>
      </c>
      <c r="H8" s="3" t="s">
        <v>31</v>
      </c>
      <c r="I8" s="3" t="s">
        <v>32</v>
      </c>
    </row>
    <row r="9" spans="1:9" x14ac:dyDescent="0.2">
      <c r="A9">
        <v>8</v>
      </c>
      <c r="B9">
        <v>1278</v>
      </c>
      <c r="C9" s="1" t="s">
        <v>7</v>
      </c>
      <c r="D9">
        <v>0.20699999999999999</v>
      </c>
      <c r="E9" t="s">
        <v>27</v>
      </c>
      <c r="F9" t="s">
        <v>33</v>
      </c>
      <c r="G9" t="s">
        <v>34</v>
      </c>
      <c r="H9" t="s">
        <v>37</v>
      </c>
    </row>
    <row r="10" spans="1:9" x14ac:dyDescent="0.2">
      <c r="A10">
        <v>9</v>
      </c>
      <c r="B10">
        <v>1278</v>
      </c>
      <c r="C10" s="1" t="s">
        <v>8</v>
      </c>
      <c r="D10">
        <v>0.27310000000000001</v>
      </c>
      <c r="E10" t="s">
        <v>27</v>
      </c>
      <c r="F10" t="s">
        <v>33</v>
      </c>
      <c r="G10" t="s">
        <v>34</v>
      </c>
      <c r="H10" t="s">
        <v>37</v>
      </c>
    </row>
    <row r="11" spans="1:9" x14ac:dyDescent="0.2">
      <c r="A11">
        <v>10</v>
      </c>
      <c r="B11">
        <v>1278</v>
      </c>
      <c r="C11" s="1" t="s">
        <v>13</v>
      </c>
      <c r="D11">
        <v>0.32419999999999999</v>
      </c>
      <c r="E11" t="s">
        <v>27</v>
      </c>
      <c r="F11" t="s">
        <v>33</v>
      </c>
      <c r="G11" t="s">
        <v>34</v>
      </c>
      <c r="H11" t="s">
        <v>37</v>
      </c>
    </row>
    <row r="12" spans="1:9" x14ac:dyDescent="0.2">
      <c r="A12">
        <v>11</v>
      </c>
      <c r="B12">
        <v>1587</v>
      </c>
      <c r="C12" s="1" t="s">
        <v>7</v>
      </c>
      <c r="D12">
        <v>0.19500000000000001</v>
      </c>
      <c r="E12" t="s">
        <v>27</v>
      </c>
      <c r="F12" t="s">
        <v>28</v>
      </c>
      <c r="G12" t="s">
        <v>38</v>
      </c>
      <c r="H12" t="s">
        <v>37</v>
      </c>
      <c r="I12" t="s">
        <v>45</v>
      </c>
    </row>
    <row r="13" spans="1:9" x14ac:dyDescent="0.2">
      <c r="A13">
        <v>12</v>
      </c>
      <c r="B13">
        <v>1587</v>
      </c>
      <c r="C13" s="1" t="s">
        <v>8</v>
      </c>
      <c r="D13">
        <v>0.42770000000000002</v>
      </c>
      <c r="E13" t="s">
        <v>27</v>
      </c>
      <c r="F13" t="s">
        <v>28</v>
      </c>
      <c r="G13" t="s">
        <v>38</v>
      </c>
      <c r="H13" t="s">
        <v>37</v>
      </c>
      <c r="I13" t="s">
        <v>45</v>
      </c>
    </row>
    <row r="14" spans="1:9" x14ac:dyDescent="0.2">
      <c r="A14">
        <v>13</v>
      </c>
      <c r="B14">
        <v>1587</v>
      </c>
      <c r="C14" s="1" t="s">
        <v>12</v>
      </c>
      <c r="D14">
        <v>0.40799999999999997</v>
      </c>
      <c r="E14" t="s">
        <v>27</v>
      </c>
      <c r="F14" t="s">
        <v>28</v>
      </c>
      <c r="G14" t="s">
        <v>38</v>
      </c>
      <c r="H14" t="s">
        <v>37</v>
      </c>
      <c r="I14" t="s">
        <v>45</v>
      </c>
    </row>
    <row r="15" spans="1:9" x14ac:dyDescent="0.2">
      <c r="A15">
        <v>14</v>
      </c>
      <c r="B15">
        <v>1593</v>
      </c>
      <c r="C15" s="1" t="s">
        <v>15</v>
      </c>
      <c r="D15">
        <v>0.44119999999999998</v>
      </c>
      <c r="E15" t="s">
        <v>27</v>
      </c>
      <c r="F15" t="s">
        <v>39</v>
      </c>
      <c r="G15" t="s">
        <v>30</v>
      </c>
      <c r="H15" t="s">
        <v>37</v>
      </c>
    </row>
    <row r="16" spans="1:9" x14ac:dyDescent="0.2">
      <c r="A16">
        <v>15</v>
      </c>
      <c r="B16">
        <v>1593</v>
      </c>
      <c r="C16" s="1" t="s">
        <v>14</v>
      </c>
      <c r="D16">
        <v>0.53600000000000003</v>
      </c>
      <c r="E16" t="s">
        <v>27</v>
      </c>
      <c r="F16" t="s">
        <v>39</v>
      </c>
      <c r="G16" t="s">
        <v>30</v>
      </c>
      <c r="H16" t="s">
        <v>37</v>
      </c>
    </row>
    <row r="17" spans="1:9" x14ac:dyDescent="0.2">
      <c r="A17">
        <v>16</v>
      </c>
      <c r="B17">
        <v>1652</v>
      </c>
      <c r="C17" s="1" t="s">
        <v>7</v>
      </c>
      <c r="D17">
        <v>0.35799999999999998</v>
      </c>
      <c r="E17" t="s">
        <v>27</v>
      </c>
      <c r="F17" t="s">
        <v>36</v>
      </c>
      <c r="G17" t="s">
        <v>34</v>
      </c>
      <c r="H17" t="s">
        <v>31</v>
      </c>
      <c r="I17" t="s">
        <v>32</v>
      </c>
    </row>
    <row r="18" spans="1:9" x14ac:dyDescent="0.2">
      <c r="A18">
        <v>17</v>
      </c>
      <c r="B18">
        <v>1652</v>
      </c>
      <c r="C18" s="1" t="s">
        <v>8</v>
      </c>
      <c r="D18">
        <v>0.45610000000000001</v>
      </c>
      <c r="E18" t="s">
        <v>27</v>
      </c>
      <c r="F18" t="s">
        <v>36</v>
      </c>
      <c r="G18" t="s">
        <v>34</v>
      </c>
      <c r="H18" t="s">
        <v>31</v>
      </c>
      <c r="I18" t="s">
        <v>32</v>
      </c>
    </row>
    <row r="19" spans="1:9" x14ac:dyDescent="0.2">
      <c r="A19">
        <v>18</v>
      </c>
      <c r="B19">
        <v>1652</v>
      </c>
      <c r="C19" s="1" t="s">
        <v>12</v>
      </c>
      <c r="D19">
        <v>0.38479999999999998</v>
      </c>
      <c r="E19" t="s">
        <v>27</v>
      </c>
      <c r="F19" t="s">
        <v>36</v>
      </c>
      <c r="G19" t="s">
        <v>34</v>
      </c>
      <c r="H19" t="s">
        <v>31</v>
      </c>
      <c r="I19" t="s">
        <v>32</v>
      </c>
    </row>
    <row r="20" spans="1:9" x14ac:dyDescent="0.2">
      <c r="A20">
        <v>19</v>
      </c>
      <c r="B20" t="s">
        <v>16</v>
      </c>
      <c r="C20" s="1" t="s">
        <v>17</v>
      </c>
      <c r="D20">
        <v>0.27729999999999999</v>
      </c>
      <c r="E20" t="s">
        <v>40</v>
      </c>
      <c r="F20" t="s">
        <v>28</v>
      </c>
      <c r="G20" t="s">
        <v>30</v>
      </c>
      <c r="H20" t="s">
        <v>41</v>
      </c>
    </row>
    <row r="21" spans="1:9" x14ac:dyDescent="0.2">
      <c r="A21">
        <v>20</v>
      </c>
      <c r="B21" t="s">
        <v>16</v>
      </c>
      <c r="C21" s="1" t="s">
        <v>13</v>
      </c>
      <c r="D21">
        <v>0.25629999999999997</v>
      </c>
      <c r="E21" t="s">
        <v>40</v>
      </c>
      <c r="F21" t="s">
        <v>28</v>
      </c>
      <c r="G21" t="s">
        <v>30</v>
      </c>
      <c r="H21" t="s">
        <v>41</v>
      </c>
    </row>
    <row r="22" spans="1:9" x14ac:dyDescent="0.2">
      <c r="A22">
        <v>21</v>
      </c>
      <c r="B22">
        <v>1665</v>
      </c>
      <c r="C22" s="2" t="s">
        <v>7</v>
      </c>
      <c r="D22">
        <v>0.24590000000000001</v>
      </c>
      <c r="E22" t="s">
        <v>27</v>
      </c>
      <c r="F22" t="s">
        <v>36</v>
      </c>
      <c r="G22" t="s">
        <v>38</v>
      </c>
      <c r="H22" t="s">
        <v>37</v>
      </c>
    </row>
    <row r="23" spans="1:9" x14ac:dyDescent="0.2">
      <c r="A23">
        <v>22</v>
      </c>
      <c r="B23">
        <v>1665</v>
      </c>
      <c r="C23" s="2" t="s">
        <v>8</v>
      </c>
      <c r="D23">
        <v>0.26050000000000001</v>
      </c>
      <c r="E23" t="s">
        <v>27</v>
      </c>
      <c r="F23" t="s">
        <v>36</v>
      </c>
      <c r="G23" t="s">
        <v>38</v>
      </c>
      <c r="H23" t="s">
        <v>37</v>
      </c>
    </row>
    <row r="24" spans="1:9" x14ac:dyDescent="0.2">
      <c r="A24">
        <v>23</v>
      </c>
      <c r="B24">
        <v>1665</v>
      </c>
      <c r="C24" s="2" t="s">
        <v>13</v>
      </c>
      <c r="D24">
        <v>0.29670000000000002</v>
      </c>
      <c r="E24" t="s">
        <v>27</v>
      </c>
      <c r="F24" t="s">
        <v>36</v>
      </c>
      <c r="G24" t="s">
        <v>38</v>
      </c>
      <c r="H24" t="s">
        <v>37</v>
      </c>
    </row>
    <row r="25" spans="1:9" x14ac:dyDescent="0.2">
      <c r="A25">
        <v>24</v>
      </c>
      <c r="B25" t="s">
        <v>18</v>
      </c>
      <c r="C25" s="1" t="s">
        <v>19</v>
      </c>
      <c r="D25">
        <v>0.22620000000000001</v>
      </c>
      <c r="E25" t="s">
        <v>40</v>
      </c>
      <c r="F25" t="s">
        <v>42</v>
      </c>
      <c r="G25" t="s">
        <v>43</v>
      </c>
      <c r="H25" t="s">
        <v>41</v>
      </c>
      <c r="I25" t="s">
        <v>24</v>
      </c>
    </row>
    <row r="26" spans="1:9" x14ac:dyDescent="0.2">
      <c r="A26">
        <v>25</v>
      </c>
      <c r="B26" t="s">
        <v>18</v>
      </c>
      <c r="C26" s="1" t="s">
        <v>20</v>
      </c>
      <c r="D26">
        <v>0.12939999999999999</v>
      </c>
      <c r="E26" t="s">
        <v>40</v>
      </c>
      <c r="F26" t="s">
        <v>42</v>
      </c>
      <c r="G26" t="s">
        <v>43</v>
      </c>
      <c r="H26" t="s">
        <v>41</v>
      </c>
      <c r="I26" t="s">
        <v>24</v>
      </c>
    </row>
    <row r="27" spans="1:9" x14ac:dyDescent="0.2">
      <c r="A27">
        <v>26</v>
      </c>
      <c r="B27">
        <v>1585</v>
      </c>
      <c r="C27" s="1" t="s">
        <v>7</v>
      </c>
      <c r="D27">
        <v>0.23</v>
      </c>
      <c r="E27" t="s">
        <v>27</v>
      </c>
      <c r="F27" t="s">
        <v>44</v>
      </c>
      <c r="G27" t="s">
        <v>34</v>
      </c>
      <c r="H27" t="s">
        <v>31</v>
      </c>
      <c r="I27" t="s">
        <v>45</v>
      </c>
    </row>
    <row r="28" spans="1:9" x14ac:dyDescent="0.2">
      <c r="A28">
        <v>27</v>
      </c>
      <c r="B28">
        <v>1585</v>
      </c>
      <c r="C28" s="1" t="s">
        <v>8</v>
      </c>
      <c r="D28">
        <v>0.22170000000000001</v>
      </c>
      <c r="E28" t="s">
        <v>27</v>
      </c>
      <c r="F28" t="s">
        <v>44</v>
      </c>
      <c r="G28" t="s">
        <v>34</v>
      </c>
      <c r="H28" t="s">
        <v>31</v>
      </c>
      <c r="I28" t="s">
        <v>45</v>
      </c>
    </row>
    <row r="29" spans="1:9" x14ac:dyDescent="0.2">
      <c r="A29">
        <v>28</v>
      </c>
      <c r="B29">
        <v>1585</v>
      </c>
      <c r="C29" s="1" t="s">
        <v>21</v>
      </c>
      <c r="D29">
        <v>0.29730000000000001</v>
      </c>
      <c r="E29" t="s">
        <v>27</v>
      </c>
      <c r="F29" t="s">
        <v>44</v>
      </c>
      <c r="G29" t="s">
        <v>34</v>
      </c>
      <c r="H29" t="s">
        <v>31</v>
      </c>
      <c r="I29" t="s">
        <v>45</v>
      </c>
    </row>
    <row r="30" spans="1:9" x14ac:dyDescent="0.2">
      <c r="A30">
        <v>29</v>
      </c>
      <c r="B30">
        <v>1524</v>
      </c>
      <c r="C30" s="2" t="s">
        <v>7</v>
      </c>
      <c r="D30">
        <v>0.32600000000000001</v>
      </c>
      <c r="E30" t="s">
        <v>27</v>
      </c>
      <c r="F30" t="s">
        <v>36</v>
      </c>
      <c r="G30" t="s">
        <v>38</v>
      </c>
      <c r="H30" t="s">
        <v>37</v>
      </c>
    </row>
    <row r="31" spans="1:9" x14ac:dyDescent="0.2">
      <c r="A31">
        <v>30</v>
      </c>
      <c r="B31">
        <v>1524</v>
      </c>
      <c r="C31" s="2" t="s">
        <v>8</v>
      </c>
      <c r="D31">
        <v>0.23130000000000001</v>
      </c>
      <c r="E31" t="s">
        <v>27</v>
      </c>
      <c r="F31" t="s">
        <v>36</v>
      </c>
      <c r="G31" t="s">
        <v>38</v>
      </c>
      <c r="H31" t="s">
        <v>37</v>
      </c>
    </row>
    <row r="32" spans="1:9" x14ac:dyDescent="0.2">
      <c r="A32">
        <v>31</v>
      </c>
      <c r="B32">
        <v>1524</v>
      </c>
      <c r="C32" s="2" t="s">
        <v>12</v>
      </c>
      <c r="D32">
        <v>0.2515</v>
      </c>
      <c r="E32" t="s">
        <v>27</v>
      </c>
      <c r="F32" t="s">
        <v>36</v>
      </c>
      <c r="G32" t="s">
        <v>38</v>
      </c>
      <c r="H32" t="s">
        <v>37</v>
      </c>
    </row>
    <row r="33" spans="1:9" x14ac:dyDescent="0.2">
      <c r="A33">
        <v>32</v>
      </c>
      <c r="B33" t="s">
        <v>22</v>
      </c>
      <c r="C33" s="1" t="s">
        <v>19</v>
      </c>
      <c r="D33">
        <v>0.3906</v>
      </c>
      <c r="E33" t="s">
        <v>40</v>
      </c>
      <c r="F33" t="s">
        <v>36</v>
      </c>
      <c r="G33" t="s">
        <v>38</v>
      </c>
      <c r="H33" t="s">
        <v>37</v>
      </c>
      <c r="I33" t="s">
        <v>46</v>
      </c>
    </row>
    <row r="34" spans="1:9" x14ac:dyDescent="0.2">
      <c r="A34">
        <v>33</v>
      </c>
      <c r="B34" t="s">
        <v>22</v>
      </c>
      <c r="C34" s="1" t="s">
        <v>11</v>
      </c>
      <c r="D34">
        <v>0.28029999999999999</v>
      </c>
      <c r="E34" t="s">
        <v>40</v>
      </c>
      <c r="F34" t="s">
        <v>36</v>
      </c>
      <c r="G34" t="s">
        <v>38</v>
      </c>
      <c r="H34" t="s">
        <v>37</v>
      </c>
    </row>
    <row r="35" spans="1:9" x14ac:dyDescent="0.2">
      <c r="A35">
        <v>34</v>
      </c>
      <c r="B35">
        <v>1035</v>
      </c>
      <c r="C35" s="2" t="s">
        <v>7</v>
      </c>
      <c r="D35">
        <v>0.183</v>
      </c>
      <c r="E35" t="s">
        <v>40</v>
      </c>
      <c r="F35" t="s">
        <v>33</v>
      </c>
      <c r="G35" t="s">
        <v>34</v>
      </c>
      <c r="H35" t="s">
        <v>235</v>
      </c>
      <c r="I35" t="s">
        <v>47</v>
      </c>
    </row>
    <row r="36" spans="1:9" x14ac:dyDescent="0.2">
      <c r="A36">
        <v>35</v>
      </c>
      <c r="B36">
        <v>1035</v>
      </c>
      <c r="C36" s="2" t="s">
        <v>8</v>
      </c>
      <c r="D36">
        <v>0.26419999999999999</v>
      </c>
      <c r="E36" t="s">
        <v>40</v>
      </c>
      <c r="F36" t="s">
        <v>33</v>
      </c>
      <c r="G36" t="s">
        <v>34</v>
      </c>
      <c r="H36" t="s">
        <v>235</v>
      </c>
      <c r="I36" t="s">
        <v>47</v>
      </c>
    </row>
    <row r="37" spans="1:9" x14ac:dyDescent="0.2">
      <c r="A37">
        <v>36</v>
      </c>
      <c r="B37">
        <v>1035</v>
      </c>
      <c r="C37" s="2" t="s">
        <v>25</v>
      </c>
      <c r="D37">
        <v>0.18490000000000001</v>
      </c>
      <c r="E37" t="s">
        <v>40</v>
      </c>
      <c r="F37" t="s">
        <v>33</v>
      </c>
      <c r="G37" t="s">
        <v>34</v>
      </c>
      <c r="H37" t="s">
        <v>235</v>
      </c>
      <c r="I37" t="s">
        <v>47</v>
      </c>
    </row>
    <row r="38" spans="1:9" x14ac:dyDescent="0.2">
      <c r="A38">
        <v>37</v>
      </c>
      <c r="B38">
        <v>1650</v>
      </c>
      <c r="C38" s="1" t="s">
        <v>19</v>
      </c>
      <c r="D38">
        <v>0.17979999999999999</v>
      </c>
      <c r="E38" t="s">
        <v>27</v>
      </c>
      <c r="F38" t="s">
        <v>36</v>
      </c>
      <c r="G38" t="s">
        <v>34</v>
      </c>
      <c r="H38" t="s">
        <v>31</v>
      </c>
    </row>
    <row r="39" spans="1:9" x14ac:dyDescent="0.2">
      <c r="A39">
        <v>38</v>
      </c>
      <c r="B39">
        <v>1650</v>
      </c>
      <c r="C39" s="1" t="s">
        <v>26</v>
      </c>
      <c r="D39">
        <v>0.40079999999999999</v>
      </c>
      <c r="E39" t="s">
        <v>27</v>
      </c>
      <c r="F39" t="s">
        <v>36</v>
      </c>
      <c r="G39" t="s">
        <v>34</v>
      </c>
      <c r="H39" t="s">
        <v>31</v>
      </c>
    </row>
  </sheetData>
  <autoFilter ref="A1:I1" xr:uid="{197CA693-C49F-5A4E-8B1C-7D430FC001A9}">
    <sortState xmlns:xlrd2="http://schemas.microsoft.com/office/spreadsheetml/2017/richdata2" ref="A2:I39">
      <sortCondition ref="A1:A3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B33E-E38C-774C-A4C5-02442A12A143}">
  <sheetPr codeName="Sheet2"/>
  <dimension ref="A1:X112"/>
  <sheetViews>
    <sheetView workbookViewId="0">
      <pane xSplit="1" topLeftCell="B1" activePane="topRight" state="frozen"/>
      <selection pane="topRight" activeCell="Q12" sqref="Q12"/>
    </sheetView>
  </sheetViews>
  <sheetFormatPr baseColWidth="10" defaultRowHeight="16" x14ac:dyDescent="0.2"/>
  <cols>
    <col min="3" max="3" width="11.1640625" customWidth="1"/>
    <col min="4" max="4" width="27" hidden="1" customWidth="1"/>
    <col min="5" max="9" width="10.83203125" hidden="1" customWidth="1"/>
    <col min="10" max="10" width="16" hidden="1" customWidth="1"/>
    <col min="11" max="11" width="19.83203125" hidden="1" customWidth="1"/>
    <col min="13" max="13" width="21.33203125" customWidth="1"/>
    <col min="14" max="15" width="10.83203125" customWidth="1"/>
    <col min="18" max="18" width="10.83203125" style="111"/>
  </cols>
  <sheetData>
    <row r="1" spans="1:20" x14ac:dyDescent="0.2">
      <c r="A1" t="s">
        <v>0</v>
      </c>
      <c r="C1" t="s">
        <v>1</v>
      </c>
      <c r="D1" s="1" t="s">
        <v>6</v>
      </c>
      <c r="E1" t="s">
        <v>3</v>
      </c>
      <c r="F1" t="s">
        <v>4</v>
      </c>
      <c r="G1" t="s">
        <v>29</v>
      </c>
      <c r="H1" t="s">
        <v>77</v>
      </c>
      <c r="I1" t="s">
        <v>5</v>
      </c>
      <c r="J1" t="s">
        <v>23</v>
      </c>
      <c r="K1" s="3" t="s">
        <v>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238</v>
      </c>
      <c r="R1" s="108" t="s">
        <v>251</v>
      </c>
      <c r="S1" s="3" t="s">
        <v>63</v>
      </c>
      <c r="T1" s="3" t="s">
        <v>67</v>
      </c>
    </row>
    <row r="2" spans="1:20" x14ac:dyDescent="0.2">
      <c r="A2">
        <v>34</v>
      </c>
      <c r="C2">
        <v>1035</v>
      </c>
      <c r="D2" s="1" t="s">
        <v>7</v>
      </c>
      <c r="E2" t="s">
        <v>40</v>
      </c>
      <c r="F2" t="s">
        <v>33</v>
      </c>
      <c r="G2" t="s">
        <v>34</v>
      </c>
      <c r="H2">
        <v>2</v>
      </c>
      <c r="I2" t="s">
        <v>35</v>
      </c>
      <c r="J2" t="s">
        <v>47</v>
      </c>
      <c r="K2">
        <v>0.183</v>
      </c>
      <c r="L2">
        <v>240.64</v>
      </c>
      <c r="M2">
        <v>4</v>
      </c>
      <c r="N2">
        <f t="shared" ref="N2:N23" si="0">L2*M2</f>
        <v>962.56</v>
      </c>
      <c r="O2">
        <f t="shared" ref="O2:O23" si="1">N2/K2</f>
        <v>5259.8907103825131</v>
      </c>
      <c r="P2" s="8">
        <f t="shared" ref="P2:P23" si="2">O2/1000</f>
        <v>5.2598907103825132</v>
      </c>
      <c r="Q2" s="8"/>
      <c r="R2" s="109"/>
      <c r="S2" s="97">
        <v>43558</v>
      </c>
    </row>
    <row r="3" spans="1:20" x14ac:dyDescent="0.2">
      <c r="A3">
        <v>35</v>
      </c>
      <c r="C3">
        <v>1035</v>
      </c>
      <c r="D3" s="1" t="s">
        <v>8</v>
      </c>
      <c r="E3" t="s">
        <v>40</v>
      </c>
      <c r="F3" t="s">
        <v>33</v>
      </c>
      <c r="G3" t="s">
        <v>34</v>
      </c>
      <c r="H3">
        <v>2</v>
      </c>
      <c r="I3" t="s">
        <v>35</v>
      </c>
      <c r="J3" t="s">
        <v>47</v>
      </c>
      <c r="K3">
        <v>0.26419999999999999</v>
      </c>
      <c r="L3">
        <v>338.24</v>
      </c>
      <c r="M3">
        <v>4</v>
      </c>
      <c r="N3">
        <f t="shared" si="0"/>
        <v>1352.96</v>
      </c>
      <c r="O3">
        <f t="shared" si="1"/>
        <v>5120.9689629068889</v>
      </c>
      <c r="P3" s="8">
        <f t="shared" si="2"/>
        <v>5.1209689629068889</v>
      </c>
      <c r="Q3" s="8"/>
      <c r="R3" s="109"/>
      <c r="S3" s="97">
        <v>43558</v>
      </c>
    </row>
    <row r="4" spans="1:20" x14ac:dyDescent="0.2">
      <c r="A4">
        <v>36</v>
      </c>
      <c r="C4">
        <v>1035</v>
      </c>
      <c r="D4" s="1" t="s">
        <v>25</v>
      </c>
      <c r="E4" t="s">
        <v>40</v>
      </c>
      <c r="F4" t="s">
        <v>33</v>
      </c>
      <c r="G4" t="s">
        <v>34</v>
      </c>
      <c r="H4">
        <v>2</v>
      </c>
      <c r="I4" t="s">
        <v>35</v>
      </c>
      <c r="J4" t="s">
        <v>47</v>
      </c>
      <c r="K4">
        <v>0.18490000000000001</v>
      </c>
      <c r="L4">
        <v>185.6</v>
      </c>
      <c r="M4">
        <v>4</v>
      </c>
      <c r="N4">
        <f t="shared" si="0"/>
        <v>742.4</v>
      </c>
      <c r="O4">
        <f t="shared" si="1"/>
        <v>4015.1433207138989</v>
      </c>
      <c r="P4" s="8">
        <f t="shared" si="2"/>
        <v>4.0151433207138991</v>
      </c>
      <c r="Q4" s="8"/>
      <c r="R4" s="109"/>
      <c r="S4" s="97">
        <v>43558</v>
      </c>
    </row>
    <row r="5" spans="1:20" x14ac:dyDescent="0.2">
      <c r="A5">
        <v>58</v>
      </c>
      <c r="B5" t="s">
        <v>99</v>
      </c>
      <c r="C5">
        <v>1035</v>
      </c>
      <c r="D5">
        <v>35</v>
      </c>
      <c r="E5" t="s">
        <v>40</v>
      </c>
      <c r="F5" t="s">
        <v>33</v>
      </c>
      <c r="G5" t="s">
        <v>34</v>
      </c>
      <c r="I5" t="s">
        <v>35</v>
      </c>
      <c r="K5">
        <v>0.12720000000000001</v>
      </c>
      <c r="L5" s="100">
        <v>249.3</v>
      </c>
      <c r="M5" s="101">
        <v>4</v>
      </c>
      <c r="N5">
        <f t="shared" si="0"/>
        <v>997.2</v>
      </c>
      <c r="O5">
        <f t="shared" si="1"/>
        <v>7839.6226415094343</v>
      </c>
      <c r="P5" s="8">
        <f t="shared" si="2"/>
        <v>7.8396226415094343</v>
      </c>
      <c r="Q5" s="8">
        <v>20.88</v>
      </c>
      <c r="R5" s="109">
        <v>5.2</v>
      </c>
      <c r="S5" s="97" t="s">
        <v>237</v>
      </c>
    </row>
    <row r="6" spans="1:20" x14ac:dyDescent="0.2">
      <c r="A6">
        <v>4</v>
      </c>
      <c r="C6">
        <v>1149</v>
      </c>
      <c r="D6" s="1" t="s">
        <v>7</v>
      </c>
      <c r="E6" t="s">
        <v>27</v>
      </c>
      <c r="F6" t="s">
        <v>33</v>
      </c>
      <c r="G6" t="s">
        <v>34</v>
      </c>
      <c r="H6">
        <v>3.4</v>
      </c>
      <c r="I6" t="s">
        <v>35</v>
      </c>
      <c r="K6">
        <v>0.21290000000000001</v>
      </c>
      <c r="L6">
        <v>125.44</v>
      </c>
      <c r="M6">
        <v>4</v>
      </c>
      <c r="N6">
        <f t="shared" si="0"/>
        <v>501.76</v>
      </c>
      <c r="O6">
        <f t="shared" si="1"/>
        <v>2356.7872240488491</v>
      </c>
      <c r="P6" s="8">
        <f t="shared" si="2"/>
        <v>2.356787224048849</v>
      </c>
      <c r="Q6" s="8"/>
      <c r="R6" s="109"/>
      <c r="S6" s="97">
        <v>43558</v>
      </c>
    </row>
    <row r="7" spans="1:20" x14ac:dyDescent="0.2">
      <c r="A7">
        <v>5</v>
      </c>
      <c r="C7">
        <v>1149</v>
      </c>
      <c r="D7" s="1" t="s">
        <v>10</v>
      </c>
      <c r="E7" t="s">
        <v>27</v>
      </c>
      <c r="F7" t="s">
        <v>33</v>
      </c>
      <c r="G7" t="s">
        <v>34</v>
      </c>
      <c r="H7">
        <v>3.5</v>
      </c>
      <c r="I7" t="s">
        <v>35</v>
      </c>
      <c r="K7">
        <v>0.22189999999999999</v>
      </c>
      <c r="L7">
        <v>45.15</v>
      </c>
      <c r="M7">
        <v>4</v>
      </c>
      <c r="N7">
        <f t="shared" si="0"/>
        <v>180.6</v>
      </c>
      <c r="O7">
        <f t="shared" si="1"/>
        <v>813.88012618296534</v>
      </c>
      <c r="P7" s="8">
        <f t="shared" si="2"/>
        <v>0.81388012618296535</v>
      </c>
      <c r="Q7" s="8"/>
      <c r="R7" s="109"/>
      <c r="S7" s="97">
        <v>43558</v>
      </c>
    </row>
    <row r="8" spans="1:20" x14ac:dyDescent="0.2">
      <c r="A8" s="56">
        <v>56</v>
      </c>
      <c r="B8" t="s">
        <v>99</v>
      </c>
      <c r="C8" s="56">
        <v>1149</v>
      </c>
      <c r="E8" s="56" t="s">
        <v>27</v>
      </c>
      <c r="F8" t="s">
        <v>33</v>
      </c>
      <c r="G8" t="s">
        <v>34</v>
      </c>
      <c r="I8" t="s">
        <v>35</v>
      </c>
      <c r="K8" s="56">
        <v>0.19539999999999999</v>
      </c>
      <c r="L8" s="98">
        <v>805.6</v>
      </c>
      <c r="M8" s="99">
        <v>2</v>
      </c>
      <c r="N8">
        <f t="shared" si="0"/>
        <v>1611.2</v>
      </c>
      <c r="O8">
        <f t="shared" si="1"/>
        <v>8245.6499488229274</v>
      </c>
      <c r="P8" s="8">
        <f t="shared" si="2"/>
        <v>8.245649948822928</v>
      </c>
      <c r="Q8" s="8">
        <v>21.01</v>
      </c>
      <c r="R8" s="109">
        <v>8.4</v>
      </c>
      <c r="S8" s="97" t="s">
        <v>242</v>
      </c>
    </row>
    <row r="9" spans="1:20" x14ac:dyDescent="0.2">
      <c r="A9">
        <v>8</v>
      </c>
      <c r="C9">
        <v>1278</v>
      </c>
      <c r="D9" s="1" t="s">
        <v>7</v>
      </c>
      <c r="E9" t="s">
        <v>27</v>
      </c>
      <c r="F9" t="s">
        <v>33</v>
      </c>
      <c r="G9" t="s">
        <v>34</v>
      </c>
      <c r="H9">
        <v>3</v>
      </c>
      <c r="I9" t="s">
        <v>37</v>
      </c>
      <c r="K9">
        <v>0.20699999999999999</v>
      </c>
      <c r="L9">
        <v>458.24</v>
      </c>
      <c r="M9">
        <v>4</v>
      </c>
      <c r="N9">
        <f t="shared" si="0"/>
        <v>1832.96</v>
      </c>
      <c r="O9">
        <f t="shared" si="1"/>
        <v>8854.8792270531412</v>
      </c>
      <c r="P9" s="8">
        <f t="shared" si="2"/>
        <v>8.8548792270531411</v>
      </c>
      <c r="Q9" s="8"/>
      <c r="R9" s="109"/>
      <c r="S9" s="97">
        <v>43592</v>
      </c>
    </row>
    <row r="10" spans="1:20" x14ac:dyDescent="0.2">
      <c r="A10">
        <v>9</v>
      </c>
      <c r="C10">
        <v>1278</v>
      </c>
      <c r="D10" s="1" t="s">
        <v>8</v>
      </c>
      <c r="E10" t="s">
        <v>27</v>
      </c>
      <c r="F10" t="s">
        <v>33</v>
      </c>
      <c r="G10" t="s">
        <v>34</v>
      </c>
      <c r="H10">
        <v>3</v>
      </c>
      <c r="I10" t="s">
        <v>37</v>
      </c>
      <c r="K10">
        <v>0.27310000000000001</v>
      </c>
      <c r="L10">
        <v>511.36</v>
      </c>
      <c r="M10">
        <v>4</v>
      </c>
      <c r="N10">
        <f t="shared" si="0"/>
        <v>2045.44</v>
      </c>
      <c r="O10">
        <f t="shared" si="1"/>
        <v>7489.7107286708169</v>
      </c>
      <c r="P10" s="8">
        <f t="shared" si="2"/>
        <v>7.4897107286708167</v>
      </c>
      <c r="Q10" s="8"/>
      <c r="R10" s="109"/>
      <c r="S10" s="97">
        <v>43592</v>
      </c>
    </row>
    <row r="11" spans="1:20" x14ac:dyDescent="0.2">
      <c r="A11">
        <v>10</v>
      </c>
      <c r="C11">
        <v>1278</v>
      </c>
      <c r="D11" s="1" t="s">
        <v>13</v>
      </c>
      <c r="E11" t="s">
        <v>27</v>
      </c>
      <c r="F11" t="s">
        <v>33</v>
      </c>
      <c r="G11" t="s">
        <v>34</v>
      </c>
      <c r="H11">
        <v>3</v>
      </c>
      <c r="I11" t="s">
        <v>37</v>
      </c>
      <c r="K11">
        <v>0.32419999999999999</v>
      </c>
      <c r="L11">
        <v>645.76</v>
      </c>
      <c r="M11">
        <v>4</v>
      </c>
      <c r="N11">
        <f t="shared" si="0"/>
        <v>2583.04</v>
      </c>
      <c r="O11">
        <f t="shared" si="1"/>
        <v>7967.4275138803214</v>
      </c>
      <c r="P11" s="8">
        <f t="shared" si="2"/>
        <v>7.9674275138803212</v>
      </c>
      <c r="Q11" s="8"/>
      <c r="R11" s="109"/>
      <c r="S11" s="97">
        <v>43558</v>
      </c>
    </row>
    <row r="12" spans="1:20" x14ac:dyDescent="0.2">
      <c r="A12" s="56">
        <v>62</v>
      </c>
      <c r="B12" s="56" t="s">
        <v>99</v>
      </c>
      <c r="C12" s="56">
        <v>1278</v>
      </c>
      <c r="E12" s="56" t="s">
        <v>27</v>
      </c>
      <c r="F12" t="s">
        <v>33</v>
      </c>
      <c r="G12" t="s">
        <v>34</v>
      </c>
      <c r="I12" t="s">
        <v>37</v>
      </c>
      <c r="K12" s="56">
        <v>0.14019999999999999</v>
      </c>
      <c r="L12">
        <v>1784.7</v>
      </c>
      <c r="M12" s="99">
        <v>2</v>
      </c>
      <c r="N12">
        <f t="shared" si="0"/>
        <v>3569.4</v>
      </c>
      <c r="O12">
        <f t="shared" si="1"/>
        <v>25459.343794579174</v>
      </c>
      <c r="P12" s="8">
        <f t="shared" si="2"/>
        <v>25.459343794579173</v>
      </c>
      <c r="Q12" s="8">
        <v>0.1</v>
      </c>
      <c r="R12" s="109">
        <v>0.1</v>
      </c>
      <c r="S12" s="97" t="s">
        <v>242</v>
      </c>
    </row>
    <row r="13" spans="1:20" x14ac:dyDescent="0.2">
      <c r="A13">
        <v>1</v>
      </c>
      <c r="B13" t="s">
        <v>99</v>
      </c>
      <c r="C13">
        <v>1429</v>
      </c>
      <c r="D13" s="1" t="s">
        <v>7</v>
      </c>
      <c r="E13" t="s">
        <v>27</v>
      </c>
      <c r="F13" t="s">
        <v>28</v>
      </c>
      <c r="G13" t="s">
        <v>30</v>
      </c>
      <c r="H13">
        <v>3</v>
      </c>
      <c r="I13" t="s">
        <v>31</v>
      </c>
      <c r="J13" t="s">
        <v>32</v>
      </c>
      <c r="K13">
        <v>0.50780000000000003</v>
      </c>
      <c r="L13">
        <v>344.32</v>
      </c>
      <c r="M13">
        <v>4</v>
      </c>
      <c r="N13">
        <f t="shared" si="0"/>
        <v>1377.28</v>
      </c>
      <c r="O13">
        <f t="shared" si="1"/>
        <v>2712.2489168964157</v>
      </c>
      <c r="P13" s="8">
        <f t="shared" si="2"/>
        <v>2.7122489168964159</v>
      </c>
      <c r="Q13" s="8"/>
      <c r="R13" s="109"/>
      <c r="S13" s="97">
        <v>43592</v>
      </c>
    </row>
    <row r="14" spans="1:20" x14ac:dyDescent="0.2">
      <c r="A14">
        <v>2</v>
      </c>
      <c r="C14">
        <v>1429</v>
      </c>
      <c r="D14" s="1" t="s">
        <v>8</v>
      </c>
      <c r="E14" t="s">
        <v>27</v>
      </c>
      <c r="F14" t="s">
        <v>28</v>
      </c>
      <c r="G14" t="s">
        <v>30</v>
      </c>
      <c r="H14">
        <v>3</v>
      </c>
      <c r="I14" t="s">
        <v>31</v>
      </c>
      <c r="J14" t="s">
        <v>32</v>
      </c>
      <c r="K14">
        <v>0.5746</v>
      </c>
      <c r="L14">
        <v>914.24</v>
      </c>
      <c r="M14">
        <v>4</v>
      </c>
      <c r="N14">
        <f t="shared" si="0"/>
        <v>3656.96</v>
      </c>
      <c r="O14">
        <f t="shared" si="1"/>
        <v>6364.3578141315702</v>
      </c>
      <c r="P14" s="8">
        <f t="shared" si="2"/>
        <v>6.3643578141315702</v>
      </c>
      <c r="Q14" s="8"/>
      <c r="R14" s="109"/>
      <c r="S14" s="97">
        <v>43558</v>
      </c>
    </row>
    <row r="15" spans="1:20" x14ac:dyDescent="0.2">
      <c r="A15">
        <v>3</v>
      </c>
      <c r="C15">
        <v>1429</v>
      </c>
      <c r="D15" s="1" t="s">
        <v>9</v>
      </c>
      <c r="E15" t="s">
        <v>27</v>
      </c>
      <c r="F15" t="s">
        <v>28</v>
      </c>
      <c r="G15" t="s">
        <v>30</v>
      </c>
      <c r="H15">
        <v>3</v>
      </c>
      <c r="I15" t="s">
        <v>31</v>
      </c>
      <c r="J15" t="s">
        <v>32</v>
      </c>
      <c r="K15">
        <v>0.35510000000000003</v>
      </c>
      <c r="L15">
        <v>404.16</v>
      </c>
      <c r="M15">
        <v>4</v>
      </c>
      <c r="N15">
        <f t="shared" si="0"/>
        <v>1616.64</v>
      </c>
      <c r="O15">
        <f t="shared" si="1"/>
        <v>4552.6330611095464</v>
      </c>
      <c r="P15" s="8">
        <f t="shared" si="2"/>
        <v>4.552633061109546</v>
      </c>
      <c r="Q15" s="8"/>
      <c r="R15" s="109"/>
      <c r="S15" s="97">
        <v>43558</v>
      </c>
    </row>
    <row r="16" spans="1:20" x14ac:dyDescent="0.2">
      <c r="A16" s="56">
        <v>51</v>
      </c>
      <c r="B16" t="s">
        <v>99</v>
      </c>
      <c r="C16" s="56">
        <v>1429</v>
      </c>
      <c r="E16" s="56" t="s">
        <v>27</v>
      </c>
      <c r="F16" t="s">
        <v>28</v>
      </c>
      <c r="G16" t="s">
        <v>30</v>
      </c>
      <c r="I16" t="s">
        <v>31</v>
      </c>
      <c r="K16" s="56">
        <v>0.15770000000000001</v>
      </c>
      <c r="L16" s="98">
        <v>507.03</v>
      </c>
      <c r="M16" s="99">
        <v>2</v>
      </c>
      <c r="N16">
        <f t="shared" si="0"/>
        <v>1014.06</v>
      </c>
      <c r="O16">
        <f t="shared" si="1"/>
        <v>6430.3107165504116</v>
      </c>
      <c r="P16" s="8">
        <f t="shared" si="2"/>
        <v>6.4303107165504114</v>
      </c>
      <c r="Q16" s="8"/>
      <c r="R16" s="109">
        <v>0.8</v>
      </c>
      <c r="S16" s="97" t="s">
        <v>242</v>
      </c>
    </row>
    <row r="17" spans="1:19" x14ac:dyDescent="0.2">
      <c r="A17">
        <v>29</v>
      </c>
      <c r="C17">
        <v>1524</v>
      </c>
      <c r="D17" s="1" t="s">
        <v>7</v>
      </c>
      <c r="E17" t="s">
        <v>27</v>
      </c>
      <c r="F17" t="s">
        <v>36</v>
      </c>
      <c r="G17" t="s">
        <v>38</v>
      </c>
      <c r="H17">
        <v>2.5</v>
      </c>
      <c r="I17" t="s">
        <v>37</v>
      </c>
      <c r="K17">
        <v>0.32600000000000001</v>
      </c>
      <c r="L17">
        <v>1318.4</v>
      </c>
      <c r="M17">
        <v>4</v>
      </c>
      <c r="N17">
        <f t="shared" si="0"/>
        <v>5273.6</v>
      </c>
      <c r="O17">
        <f t="shared" si="1"/>
        <v>16176.687116564417</v>
      </c>
      <c r="P17" s="8">
        <f t="shared" si="2"/>
        <v>16.176687116564416</v>
      </c>
      <c r="Q17" s="8"/>
      <c r="R17" s="109"/>
      <c r="S17" s="97">
        <v>43592</v>
      </c>
    </row>
    <row r="18" spans="1:19" x14ac:dyDescent="0.2">
      <c r="A18">
        <v>30</v>
      </c>
      <c r="C18">
        <v>1524</v>
      </c>
      <c r="D18" s="1" t="s">
        <v>8</v>
      </c>
      <c r="E18" t="s">
        <v>27</v>
      </c>
      <c r="F18" t="s">
        <v>36</v>
      </c>
      <c r="G18" t="s">
        <v>38</v>
      </c>
      <c r="H18">
        <v>2.5</v>
      </c>
      <c r="I18" t="s">
        <v>37</v>
      </c>
      <c r="K18">
        <v>0.23130000000000001</v>
      </c>
      <c r="M18">
        <v>4</v>
      </c>
      <c r="N18">
        <f t="shared" si="0"/>
        <v>0</v>
      </c>
      <c r="O18">
        <f t="shared" si="1"/>
        <v>0</v>
      </c>
      <c r="P18" s="8">
        <f t="shared" si="2"/>
        <v>0</v>
      </c>
      <c r="Q18" s="8"/>
      <c r="R18" s="109"/>
      <c r="S18" s="97">
        <v>43592</v>
      </c>
    </row>
    <row r="19" spans="1:19" x14ac:dyDescent="0.2">
      <c r="A19">
        <v>31</v>
      </c>
      <c r="C19">
        <v>1524</v>
      </c>
      <c r="D19" s="1" t="s">
        <v>12</v>
      </c>
      <c r="E19" t="s">
        <v>27</v>
      </c>
      <c r="F19" t="s">
        <v>36</v>
      </c>
      <c r="G19" t="s">
        <v>38</v>
      </c>
      <c r="H19">
        <v>2.5</v>
      </c>
      <c r="I19" t="s">
        <v>37</v>
      </c>
      <c r="K19">
        <v>0.2515</v>
      </c>
      <c r="L19">
        <v>687.68</v>
      </c>
      <c r="M19">
        <v>4</v>
      </c>
      <c r="N19">
        <f t="shared" si="0"/>
        <v>2750.72</v>
      </c>
      <c r="O19">
        <f t="shared" si="1"/>
        <v>10937.256461232604</v>
      </c>
      <c r="P19" s="8">
        <f t="shared" si="2"/>
        <v>10.937256461232604</v>
      </c>
      <c r="Q19" s="8"/>
      <c r="R19" s="109"/>
      <c r="S19" s="97">
        <v>43592</v>
      </c>
    </row>
    <row r="20" spans="1:19" x14ac:dyDescent="0.2">
      <c r="A20" s="56">
        <v>54</v>
      </c>
      <c r="B20" t="s">
        <v>99</v>
      </c>
      <c r="C20" s="56">
        <v>1524</v>
      </c>
      <c r="E20" s="56" t="s">
        <v>27</v>
      </c>
      <c r="F20" t="s">
        <v>36</v>
      </c>
      <c r="G20" t="s">
        <v>38</v>
      </c>
      <c r="I20" t="s">
        <v>37</v>
      </c>
      <c r="K20" s="56">
        <v>0.1754</v>
      </c>
      <c r="L20" s="98">
        <v>3043.7</v>
      </c>
      <c r="M20" s="99">
        <v>2</v>
      </c>
      <c r="N20">
        <f t="shared" si="0"/>
        <v>6087.4</v>
      </c>
      <c r="O20">
        <f t="shared" si="1"/>
        <v>34705.815279361457</v>
      </c>
      <c r="P20" s="8">
        <f t="shared" si="2"/>
        <v>34.70581527936146</v>
      </c>
      <c r="Q20" s="8">
        <v>1.2</v>
      </c>
      <c r="R20" s="109">
        <v>1.1000000000000001</v>
      </c>
      <c r="S20" s="97" t="s">
        <v>242</v>
      </c>
    </row>
    <row r="21" spans="1:19" x14ac:dyDescent="0.2">
      <c r="A21">
        <v>26</v>
      </c>
      <c r="C21">
        <v>1585</v>
      </c>
      <c r="D21" s="1" t="s">
        <v>7</v>
      </c>
      <c r="E21" t="s">
        <v>27</v>
      </c>
      <c r="F21" t="s">
        <v>44</v>
      </c>
      <c r="G21" t="s">
        <v>34</v>
      </c>
      <c r="H21">
        <v>2.5</v>
      </c>
      <c r="I21" t="s">
        <v>31</v>
      </c>
      <c r="J21" t="s">
        <v>45</v>
      </c>
      <c r="K21">
        <v>0.23</v>
      </c>
      <c r="L21">
        <v>0</v>
      </c>
      <c r="M21">
        <v>4</v>
      </c>
      <c r="N21">
        <f t="shared" si="0"/>
        <v>0</v>
      </c>
      <c r="O21">
        <f t="shared" si="1"/>
        <v>0</v>
      </c>
      <c r="P21" s="8">
        <f t="shared" si="2"/>
        <v>0</v>
      </c>
      <c r="Q21" s="8"/>
      <c r="R21" s="109"/>
      <c r="S21" s="97">
        <v>43592</v>
      </c>
    </row>
    <row r="22" spans="1:19" x14ac:dyDescent="0.2">
      <c r="A22">
        <v>27</v>
      </c>
      <c r="C22">
        <v>1585</v>
      </c>
      <c r="D22" s="1" t="s">
        <v>8</v>
      </c>
      <c r="E22" t="s">
        <v>27</v>
      </c>
      <c r="F22" t="s">
        <v>44</v>
      </c>
      <c r="G22" t="s">
        <v>34</v>
      </c>
      <c r="H22">
        <v>2.5</v>
      </c>
      <c r="I22" t="s">
        <v>31</v>
      </c>
      <c r="J22" t="s">
        <v>45</v>
      </c>
      <c r="K22">
        <v>0.22170000000000001</v>
      </c>
      <c r="L22">
        <v>1571.2</v>
      </c>
      <c r="M22">
        <v>4</v>
      </c>
      <c r="N22">
        <f t="shared" si="0"/>
        <v>6284.8</v>
      </c>
      <c r="O22">
        <f t="shared" si="1"/>
        <v>28348.218313035635</v>
      </c>
      <c r="P22" s="8">
        <f t="shared" si="2"/>
        <v>28.348218313035634</v>
      </c>
      <c r="Q22" s="8"/>
      <c r="R22" s="109"/>
      <c r="S22" s="97">
        <v>43592</v>
      </c>
    </row>
    <row r="23" spans="1:19" x14ac:dyDescent="0.2">
      <c r="A23">
        <v>28</v>
      </c>
      <c r="C23">
        <v>1585</v>
      </c>
      <c r="D23" s="1" t="s">
        <v>21</v>
      </c>
      <c r="E23" t="s">
        <v>27</v>
      </c>
      <c r="F23" t="s">
        <v>44</v>
      </c>
      <c r="G23" t="s">
        <v>34</v>
      </c>
      <c r="H23">
        <v>2.5</v>
      </c>
      <c r="I23" t="s">
        <v>31</v>
      </c>
      <c r="J23" t="s">
        <v>45</v>
      </c>
      <c r="K23">
        <v>0.29730000000000001</v>
      </c>
      <c r="L23">
        <v>1359.04</v>
      </c>
      <c r="M23">
        <v>4</v>
      </c>
      <c r="N23">
        <f t="shared" si="0"/>
        <v>5436.16</v>
      </c>
      <c r="O23">
        <f t="shared" si="1"/>
        <v>18285.099226370668</v>
      </c>
      <c r="P23" s="8">
        <f t="shared" si="2"/>
        <v>18.285099226370669</v>
      </c>
      <c r="Q23" s="8"/>
      <c r="R23" s="109"/>
      <c r="S23" s="97">
        <v>43592</v>
      </c>
    </row>
    <row r="24" spans="1:19" x14ac:dyDescent="0.2">
      <c r="A24" s="56">
        <v>60</v>
      </c>
      <c r="B24" s="56" t="s">
        <v>99</v>
      </c>
      <c r="C24" s="56">
        <v>1585</v>
      </c>
      <c r="E24" s="56" t="s">
        <v>27</v>
      </c>
      <c r="F24" t="s">
        <v>44</v>
      </c>
      <c r="G24" t="s">
        <v>34</v>
      </c>
      <c r="I24" t="s">
        <v>31</v>
      </c>
      <c r="K24" s="56">
        <v>0.1043</v>
      </c>
      <c r="L24" s="98" t="s">
        <v>135</v>
      </c>
      <c r="M24" s="99">
        <v>2</v>
      </c>
      <c r="N24" t="s">
        <v>135</v>
      </c>
      <c r="P24" s="8" t="s">
        <v>135</v>
      </c>
      <c r="Q24" s="8" t="s">
        <v>135</v>
      </c>
      <c r="R24" s="109">
        <v>4.7</v>
      </c>
      <c r="S24" s="97" t="s">
        <v>242</v>
      </c>
    </row>
    <row r="25" spans="1:19" x14ac:dyDescent="0.2">
      <c r="A25">
        <v>11</v>
      </c>
      <c r="C25">
        <v>1587</v>
      </c>
      <c r="D25" s="1" t="s">
        <v>7</v>
      </c>
      <c r="E25" t="s">
        <v>27</v>
      </c>
      <c r="F25" t="s">
        <v>28</v>
      </c>
      <c r="G25" t="s">
        <v>38</v>
      </c>
      <c r="H25">
        <v>3</v>
      </c>
      <c r="I25" t="s">
        <v>37</v>
      </c>
      <c r="J25" t="s">
        <v>45</v>
      </c>
      <c r="K25">
        <v>0.19500000000000001</v>
      </c>
      <c r="L25">
        <v>2140.8000000000002</v>
      </c>
      <c r="M25">
        <v>4</v>
      </c>
      <c r="N25">
        <f t="shared" ref="N25:N42" si="3">L25*M25</f>
        <v>8563.2000000000007</v>
      </c>
      <c r="O25">
        <f t="shared" ref="O25:O42" si="4">N25/K25</f>
        <v>43913.846153846156</v>
      </c>
      <c r="P25" s="8">
        <f t="shared" ref="P25:P42" si="5">O25/1000</f>
        <v>43.913846153846158</v>
      </c>
      <c r="Q25" s="8"/>
      <c r="R25" s="109"/>
      <c r="S25" s="97">
        <v>43592</v>
      </c>
    </row>
    <row r="26" spans="1:19" x14ac:dyDescent="0.2">
      <c r="A26">
        <v>12</v>
      </c>
      <c r="C26">
        <v>1587</v>
      </c>
      <c r="D26" s="1" t="s">
        <v>8</v>
      </c>
      <c r="E26" t="s">
        <v>27</v>
      </c>
      <c r="F26" t="s">
        <v>28</v>
      </c>
      <c r="G26" t="s">
        <v>38</v>
      </c>
      <c r="H26">
        <v>3</v>
      </c>
      <c r="I26" t="s">
        <v>37</v>
      </c>
      <c r="J26" t="s">
        <v>45</v>
      </c>
      <c r="K26">
        <v>0.42770000000000002</v>
      </c>
      <c r="L26">
        <v>1494.4</v>
      </c>
      <c r="M26">
        <v>4</v>
      </c>
      <c r="N26">
        <f t="shared" si="3"/>
        <v>5977.6</v>
      </c>
      <c r="O26">
        <f t="shared" si="4"/>
        <v>13976.151508066401</v>
      </c>
      <c r="P26" s="8">
        <f t="shared" si="5"/>
        <v>13.976151508066401</v>
      </c>
      <c r="Q26" s="8"/>
      <c r="R26" s="109"/>
      <c r="S26" s="97">
        <v>43592</v>
      </c>
    </row>
    <row r="27" spans="1:19" x14ac:dyDescent="0.2">
      <c r="A27">
        <v>13</v>
      </c>
      <c r="C27">
        <v>1587</v>
      </c>
      <c r="D27" s="1" t="s">
        <v>12</v>
      </c>
      <c r="E27" t="s">
        <v>27</v>
      </c>
      <c r="F27" t="s">
        <v>28</v>
      </c>
      <c r="G27" t="s">
        <v>38</v>
      </c>
      <c r="H27">
        <v>3</v>
      </c>
      <c r="I27" t="s">
        <v>37</v>
      </c>
      <c r="J27" t="s">
        <v>45</v>
      </c>
      <c r="K27">
        <v>0.40799999999999997</v>
      </c>
      <c r="L27">
        <v>2835.2</v>
      </c>
      <c r="M27">
        <v>4</v>
      </c>
      <c r="N27">
        <f t="shared" si="3"/>
        <v>11340.8</v>
      </c>
      <c r="O27">
        <f t="shared" si="4"/>
        <v>27796.078431372549</v>
      </c>
      <c r="P27" s="8">
        <f t="shared" si="5"/>
        <v>27.79607843137255</v>
      </c>
      <c r="Q27" s="8"/>
      <c r="R27" s="109"/>
      <c r="S27" s="97">
        <v>43592</v>
      </c>
    </row>
    <row r="28" spans="1:19" x14ac:dyDescent="0.2">
      <c r="A28">
        <v>52</v>
      </c>
      <c r="B28" t="s">
        <v>99</v>
      </c>
      <c r="C28">
        <v>1587</v>
      </c>
      <c r="D28">
        <v>35</v>
      </c>
      <c r="E28" t="s">
        <v>27</v>
      </c>
      <c r="F28" t="s">
        <v>28</v>
      </c>
      <c r="G28" t="s">
        <v>38</v>
      </c>
      <c r="I28" t="s">
        <v>37</v>
      </c>
      <c r="K28">
        <v>0.22040000000000001</v>
      </c>
      <c r="L28" s="100">
        <v>1753.9</v>
      </c>
      <c r="M28" s="101">
        <v>4</v>
      </c>
      <c r="N28">
        <f t="shared" si="3"/>
        <v>7015.6</v>
      </c>
      <c r="O28">
        <f t="shared" si="4"/>
        <v>31831.215970961886</v>
      </c>
      <c r="P28" s="8">
        <f t="shared" si="5"/>
        <v>31.831215970961885</v>
      </c>
      <c r="Q28" s="8">
        <v>6.9</v>
      </c>
      <c r="R28" s="109">
        <v>4.5999999999999996</v>
      </c>
      <c r="S28" s="97" t="s">
        <v>237</v>
      </c>
    </row>
    <row r="29" spans="1:19" x14ac:dyDescent="0.2">
      <c r="A29">
        <v>14</v>
      </c>
      <c r="C29">
        <v>1593</v>
      </c>
      <c r="D29" s="1" t="s">
        <v>15</v>
      </c>
      <c r="E29" t="s">
        <v>27</v>
      </c>
      <c r="F29" t="s">
        <v>39</v>
      </c>
      <c r="G29" t="s">
        <v>30</v>
      </c>
      <c r="H29">
        <v>3</v>
      </c>
      <c r="I29" t="s">
        <v>37</v>
      </c>
      <c r="K29">
        <v>0.44119999999999998</v>
      </c>
      <c r="L29">
        <v>616</v>
      </c>
      <c r="M29">
        <v>4</v>
      </c>
      <c r="N29">
        <f t="shared" si="3"/>
        <v>2464</v>
      </c>
      <c r="O29">
        <f t="shared" si="4"/>
        <v>5584.7688123300095</v>
      </c>
      <c r="P29" s="8">
        <f t="shared" si="5"/>
        <v>5.5847688123300099</v>
      </c>
      <c r="Q29" s="8"/>
      <c r="R29" s="109"/>
      <c r="S29" s="97">
        <v>43558</v>
      </c>
    </row>
    <row r="30" spans="1:19" x14ac:dyDescent="0.2">
      <c r="A30">
        <v>15</v>
      </c>
      <c r="C30">
        <v>1593</v>
      </c>
      <c r="D30" s="1" t="s">
        <v>14</v>
      </c>
      <c r="E30" t="s">
        <v>27</v>
      </c>
      <c r="F30" t="s">
        <v>39</v>
      </c>
      <c r="G30" t="s">
        <v>30</v>
      </c>
      <c r="H30">
        <v>3</v>
      </c>
      <c r="I30" t="s">
        <v>37</v>
      </c>
      <c r="K30">
        <v>0.53600000000000003</v>
      </c>
      <c r="L30">
        <v>732.8</v>
      </c>
      <c r="M30">
        <v>4</v>
      </c>
      <c r="N30">
        <f t="shared" si="3"/>
        <v>2931.2</v>
      </c>
      <c r="O30">
        <f t="shared" si="4"/>
        <v>5468.6567164179096</v>
      </c>
      <c r="P30" s="8">
        <f t="shared" si="5"/>
        <v>5.4686567164179092</v>
      </c>
      <c r="Q30" s="8"/>
      <c r="R30" s="109"/>
      <c r="S30" s="97">
        <v>43558</v>
      </c>
    </row>
    <row r="31" spans="1:19" x14ac:dyDescent="0.2">
      <c r="A31" s="56">
        <v>64</v>
      </c>
      <c r="B31" s="56" t="s">
        <v>99</v>
      </c>
      <c r="C31" s="56">
        <v>1593</v>
      </c>
      <c r="E31" s="56" t="s">
        <v>27</v>
      </c>
      <c r="F31" t="s">
        <v>39</v>
      </c>
      <c r="G31" t="s">
        <v>30</v>
      </c>
      <c r="I31" t="s">
        <v>37</v>
      </c>
      <c r="K31" s="56">
        <v>0.26469999999999999</v>
      </c>
      <c r="L31">
        <v>2492.4</v>
      </c>
      <c r="M31" s="99">
        <v>2</v>
      </c>
      <c r="N31">
        <f t="shared" si="3"/>
        <v>4984.8</v>
      </c>
      <c r="O31">
        <f t="shared" si="4"/>
        <v>18831.885153003401</v>
      </c>
      <c r="P31" s="8">
        <f t="shared" si="5"/>
        <v>18.831885153003402</v>
      </c>
      <c r="Q31" s="8">
        <v>2</v>
      </c>
      <c r="R31" s="109">
        <v>1.6</v>
      </c>
      <c r="S31" s="97" t="s">
        <v>242</v>
      </c>
    </row>
    <row r="32" spans="1:19" x14ac:dyDescent="0.2">
      <c r="A32">
        <v>6</v>
      </c>
      <c r="C32">
        <v>1650</v>
      </c>
      <c r="D32" s="1" t="s">
        <v>7</v>
      </c>
      <c r="E32" t="s">
        <v>27</v>
      </c>
      <c r="F32" t="s">
        <v>36</v>
      </c>
      <c r="G32" t="s">
        <v>34</v>
      </c>
      <c r="H32">
        <v>4</v>
      </c>
      <c r="I32" t="s">
        <v>31</v>
      </c>
      <c r="J32" t="s">
        <v>32</v>
      </c>
      <c r="K32">
        <v>0.42520000000000002</v>
      </c>
      <c r="L32">
        <v>1092.48</v>
      </c>
      <c r="M32">
        <v>4</v>
      </c>
      <c r="N32">
        <f t="shared" si="3"/>
        <v>4369.92</v>
      </c>
      <c r="O32">
        <f t="shared" si="4"/>
        <v>10277.328316086547</v>
      </c>
      <c r="P32" s="8">
        <f t="shared" si="5"/>
        <v>10.277328316086546</v>
      </c>
      <c r="Q32" s="8"/>
      <c r="R32" s="109"/>
      <c r="S32" s="97">
        <v>43558</v>
      </c>
    </row>
    <row r="33" spans="1:20" x14ac:dyDescent="0.2">
      <c r="A33">
        <v>7</v>
      </c>
      <c r="C33">
        <v>1650</v>
      </c>
      <c r="D33" s="1" t="s">
        <v>11</v>
      </c>
      <c r="E33" t="s">
        <v>27</v>
      </c>
      <c r="F33" t="s">
        <v>36</v>
      </c>
      <c r="G33" t="s">
        <v>34</v>
      </c>
      <c r="H33">
        <v>4</v>
      </c>
      <c r="I33" t="s">
        <v>31</v>
      </c>
      <c r="J33" t="s">
        <v>32</v>
      </c>
      <c r="K33">
        <v>0.45519999999999999</v>
      </c>
      <c r="L33">
        <v>933.76</v>
      </c>
      <c r="M33">
        <v>4</v>
      </c>
      <c r="N33">
        <f t="shared" si="3"/>
        <v>3735.04</v>
      </c>
      <c r="O33">
        <f t="shared" si="4"/>
        <v>8205.2724077328639</v>
      </c>
      <c r="P33" s="8">
        <f t="shared" si="5"/>
        <v>8.2052724077328634</v>
      </c>
      <c r="Q33" s="8"/>
      <c r="R33" s="109"/>
      <c r="S33" s="97">
        <v>43592</v>
      </c>
    </row>
    <row r="34" spans="1:20" x14ac:dyDescent="0.2">
      <c r="A34">
        <v>37</v>
      </c>
      <c r="C34">
        <v>1650</v>
      </c>
      <c r="D34" s="1" t="s">
        <v>19</v>
      </c>
      <c r="E34" t="s">
        <v>27</v>
      </c>
      <c r="F34" t="s">
        <v>36</v>
      </c>
      <c r="G34" t="s">
        <v>34</v>
      </c>
      <c r="H34">
        <v>3</v>
      </c>
      <c r="I34" t="s">
        <v>31</v>
      </c>
      <c r="K34">
        <v>0.17979999999999999</v>
      </c>
      <c r="L34">
        <v>911.36</v>
      </c>
      <c r="M34">
        <v>4</v>
      </c>
      <c r="N34">
        <f t="shared" si="3"/>
        <v>3645.44</v>
      </c>
      <c r="O34">
        <f t="shared" si="4"/>
        <v>20274.972191323694</v>
      </c>
      <c r="P34" s="8">
        <f t="shared" si="5"/>
        <v>20.274972191323695</v>
      </c>
      <c r="Q34" s="8"/>
      <c r="R34" s="109"/>
      <c r="S34" s="97">
        <v>43592</v>
      </c>
    </row>
    <row r="35" spans="1:20" ht="17" customHeight="1" x14ac:dyDescent="0.2">
      <c r="A35" s="56">
        <v>53</v>
      </c>
      <c r="B35" t="s">
        <v>99</v>
      </c>
      <c r="C35" s="56">
        <v>1650</v>
      </c>
      <c r="E35" s="56" t="s">
        <v>27</v>
      </c>
      <c r="F35" t="s">
        <v>36</v>
      </c>
      <c r="G35" t="s">
        <v>34</v>
      </c>
      <c r="I35" t="s">
        <v>31</v>
      </c>
      <c r="K35" s="56">
        <v>0.22020000000000001</v>
      </c>
      <c r="L35" s="98">
        <v>2434.5</v>
      </c>
      <c r="M35" s="99">
        <v>2</v>
      </c>
      <c r="N35">
        <f t="shared" si="3"/>
        <v>4869</v>
      </c>
      <c r="O35">
        <f t="shared" si="4"/>
        <v>22111.716621253407</v>
      </c>
      <c r="P35" s="8">
        <f t="shared" si="5"/>
        <v>22.111716621253407</v>
      </c>
      <c r="Q35" s="8">
        <v>9.6</v>
      </c>
      <c r="R35" s="109">
        <v>7.7</v>
      </c>
      <c r="S35" s="97" t="s">
        <v>242</v>
      </c>
    </row>
    <row r="36" spans="1:20" x14ac:dyDescent="0.2">
      <c r="A36">
        <v>16</v>
      </c>
      <c r="C36">
        <v>1652</v>
      </c>
      <c r="D36" s="1" t="s">
        <v>7</v>
      </c>
      <c r="E36" t="s">
        <v>27</v>
      </c>
      <c r="F36" t="s">
        <v>36</v>
      </c>
      <c r="G36" t="s">
        <v>34</v>
      </c>
      <c r="H36">
        <v>4</v>
      </c>
      <c r="I36" t="s">
        <v>31</v>
      </c>
      <c r="J36" t="s">
        <v>32</v>
      </c>
      <c r="K36">
        <v>0.35799999999999998</v>
      </c>
      <c r="L36">
        <v>357.76</v>
      </c>
      <c r="M36">
        <v>4</v>
      </c>
      <c r="N36">
        <f t="shared" si="3"/>
        <v>1431.04</v>
      </c>
      <c r="O36">
        <f t="shared" si="4"/>
        <v>3997.31843575419</v>
      </c>
      <c r="P36" s="8">
        <f t="shared" si="5"/>
        <v>3.99731843575419</v>
      </c>
      <c r="Q36" s="8"/>
      <c r="R36" s="109"/>
      <c r="S36" s="97">
        <v>43592</v>
      </c>
    </row>
    <row r="37" spans="1:20" x14ac:dyDescent="0.2">
      <c r="A37">
        <v>17</v>
      </c>
      <c r="C37">
        <v>1652</v>
      </c>
      <c r="D37" s="1" t="s">
        <v>8</v>
      </c>
      <c r="E37" t="s">
        <v>27</v>
      </c>
      <c r="F37" t="s">
        <v>36</v>
      </c>
      <c r="G37" t="s">
        <v>34</v>
      </c>
      <c r="H37">
        <v>4</v>
      </c>
      <c r="I37" t="s">
        <v>31</v>
      </c>
      <c r="J37" t="s">
        <v>32</v>
      </c>
      <c r="K37">
        <v>0.45610000000000001</v>
      </c>
      <c r="M37">
        <v>4</v>
      </c>
      <c r="N37">
        <f t="shared" si="3"/>
        <v>0</v>
      </c>
      <c r="O37">
        <f t="shared" si="4"/>
        <v>0</v>
      </c>
      <c r="P37" s="8">
        <f t="shared" si="5"/>
        <v>0</v>
      </c>
      <c r="Q37" s="8"/>
      <c r="R37" s="109"/>
      <c r="S37" s="97">
        <v>43592</v>
      </c>
    </row>
    <row r="38" spans="1:20" x14ac:dyDescent="0.2">
      <c r="A38">
        <v>18</v>
      </c>
      <c r="C38">
        <v>1652</v>
      </c>
      <c r="D38" s="1" t="s">
        <v>12</v>
      </c>
      <c r="E38" t="s">
        <v>27</v>
      </c>
      <c r="F38" t="s">
        <v>36</v>
      </c>
      <c r="G38" t="s">
        <v>34</v>
      </c>
      <c r="H38">
        <v>4</v>
      </c>
      <c r="I38" t="s">
        <v>31</v>
      </c>
      <c r="J38" t="s">
        <v>32</v>
      </c>
      <c r="K38">
        <v>0.38479999999999998</v>
      </c>
      <c r="L38">
        <v>130.88</v>
      </c>
      <c r="M38">
        <v>4</v>
      </c>
      <c r="N38">
        <f t="shared" si="3"/>
        <v>523.52</v>
      </c>
      <c r="O38">
        <f t="shared" si="4"/>
        <v>1360.4989604989605</v>
      </c>
      <c r="P38" s="8">
        <f t="shared" si="5"/>
        <v>1.3604989604989606</v>
      </c>
      <c r="Q38" s="8"/>
      <c r="R38" s="109"/>
      <c r="S38" s="97">
        <v>43592</v>
      </c>
    </row>
    <row r="39" spans="1:20" x14ac:dyDescent="0.2">
      <c r="A39" s="56">
        <v>61</v>
      </c>
      <c r="B39" s="56" t="s">
        <v>99</v>
      </c>
      <c r="C39" s="56">
        <v>1652</v>
      </c>
      <c r="E39" s="56" t="s">
        <v>27</v>
      </c>
      <c r="F39" t="s">
        <v>36</v>
      </c>
      <c r="G39" t="s">
        <v>34</v>
      </c>
      <c r="I39" t="s">
        <v>31</v>
      </c>
      <c r="K39" s="56">
        <v>0.14219999999999999</v>
      </c>
      <c r="L39" s="98">
        <v>960</v>
      </c>
      <c r="M39" s="99">
        <v>2</v>
      </c>
      <c r="N39">
        <f t="shared" si="3"/>
        <v>1920</v>
      </c>
      <c r="O39">
        <f t="shared" si="4"/>
        <v>13502.109704641351</v>
      </c>
      <c r="P39" s="8">
        <f t="shared" si="5"/>
        <v>13.502109704641351</v>
      </c>
      <c r="Q39" s="8">
        <v>8.1</v>
      </c>
      <c r="R39" s="109">
        <v>3.6</v>
      </c>
      <c r="S39" s="97" t="s">
        <v>242</v>
      </c>
    </row>
    <row r="40" spans="1:20" ht="18" customHeight="1" x14ac:dyDescent="0.2">
      <c r="A40">
        <v>21</v>
      </c>
      <c r="C40">
        <v>1665</v>
      </c>
      <c r="D40" s="1" t="s">
        <v>7</v>
      </c>
      <c r="E40" t="s">
        <v>27</v>
      </c>
      <c r="F40" t="s">
        <v>36</v>
      </c>
      <c r="G40" t="s">
        <v>38</v>
      </c>
      <c r="H40">
        <v>2</v>
      </c>
      <c r="I40" t="s">
        <v>37</v>
      </c>
      <c r="K40">
        <v>0.24590000000000001</v>
      </c>
      <c r="L40">
        <v>872</v>
      </c>
      <c r="M40">
        <v>4</v>
      </c>
      <c r="N40">
        <f t="shared" si="3"/>
        <v>3488</v>
      </c>
      <c r="O40">
        <f t="shared" si="4"/>
        <v>14184.627897519316</v>
      </c>
      <c r="P40" s="8">
        <f t="shared" si="5"/>
        <v>14.184627897519317</v>
      </c>
      <c r="Q40" s="8"/>
      <c r="R40" s="109"/>
      <c r="S40" s="97">
        <v>43592</v>
      </c>
    </row>
    <row r="41" spans="1:20" x14ac:dyDescent="0.2">
      <c r="A41">
        <v>22</v>
      </c>
      <c r="C41">
        <v>1665</v>
      </c>
      <c r="D41" s="1" t="s">
        <v>8</v>
      </c>
      <c r="E41" t="s">
        <v>27</v>
      </c>
      <c r="F41" t="s">
        <v>36</v>
      </c>
      <c r="G41" t="s">
        <v>38</v>
      </c>
      <c r="H41">
        <v>2</v>
      </c>
      <c r="I41" t="s">
        <v>37</v>
      </c>
      <c r="K41">
        <v>0.26050000000000001</v>
      </c>
      <c r="L41">
        <v>1513.6</v>
      </c>
      <c r="M41">
        <v>4</v>
      </c>
      <c r="N41">
        <f t="shared" si="3"/>
        <v>6054.4</v>
      </c>
      <c r="O41">
        <f t="shared" si="4"/>
        <v>23241.458733205371</v>
      </c>
      <c r="P41" s="8">
        <f t="shared" si="5"/>
        <v>23.24145873320537</v>
      </c>
      <c r="Q41" s="8"/>
      <c r="R41" s="109"/>
      <c r="S41" s="97">
        <v>43592</v>
      </c>
    </row>
    <row r="42" spans="1:20" x14ac:dyDescent="0.2">
      <c r="A42">
        <v>23</v>
      </c>
      <c r="C42">
        <v>1665</v>
      </c>
      <c r="D42" s="1" t="s">
        <v>13</v>
      </c>
      <c r="E42" t="s">
        <v>27</v>
      </c>
      <c r="F42" t="s">
        <v>36</v>
      </c>
      <c r="G42" t="s">
        <v>38</v>
      </c>
      <c r="H42">
        <v>2</v>
      </c>
      <c r="I42" t="s">
        <v>37</v>
      </c>
      <c r="K42">
        <v>0.29670000000000002</v>
      </c>
      <c r="M42">
        <v>4</v>
      </c>
      <c r="N42">
        <f t="shared" si="3"/>
        <v>0</v>
      </c>
      <c r="O42">
        <f t="shared" si="4"/>
        <v>0</v>
      </c>
      <c r="P42" s="8">
        <f t="shared" si="5"/>
        <v>0</v>
      </c>
      <c r="Q42" s="8"/>
      <c r="R42" s="109"/>
      <c r="S42" s="97">
        <v>43592</v>
      </c>
    </row>
    <row r="43" spans="1:20" x14ac:dyDescent="0.2">
      <c r="A43" s="56">
        <v>55</v>
      </c>
      <c r="B43" t="s">
        <v>99</v>
      </c>
      <c r="C43" s="56">
        <v>1665</v>
      </c>
      <c r="E43" s="56" t="s">
        <v>27</v>
      </c>
      <c r="F43" t="s">
        <v>36</v>
      </c>
      <c r="G43" t="s">
        <v>38</v>
      </c>
      <c r="I43" t="s">
        <v>37</v>
      </c>
      <c r="K43" s="56">
        <v>0.13700000000000001</v>
      </c>
      <c r="L43" s="98" t="s">
        <v>135</v>
      </c>
      <c r="M43" s="99">
        <v>2</v>
      </c>
      <c r="N43" t="s">
        <v>135</v>
      </c>
      <c r="P43" s="8" t="s">
        <v>135</v>
      </c>
      <c r="Q43" s="8" t="s">
        <v>135</v>
      </c>
      <c r="R43" s="109">
        <v>3.7</v>
      </c>
      <c r="S43" s="97" t="s">
        <v>242</v>
      </c>
    </row>
    <row r="44" spans="1:20" x14ac:dyDescent="0.2">
      <c r="A44" s="56">
        <v>84</v>
      </c>
      <c r="B44" s="56" t="s">
        <v>99</v>
      </c>
      <c r="C44" s="56">
        <v>1712</v>
      </c>
      <c r="D44" s="106" t="s">
        <v>90</v>
      </c>
      <c r="E44" t="s">
        <v>40</v>
      </c>
      <c r="F44">
        <v>35</v>
      </c>
      <c r="G44" t="s">
        <v>34</v>
      </c>
      <c r="I44" t="s">
        <v>103</v>
      </c>
      <c r="K44" s="56">
        <v>0.1653</v>
      </c>
      <c r="L44">
        <v>62.8</v>
      </c>
      <c r="M44" s="99">
        <v>4</v>
      </c>
      <c r="N44">
        <f t="shared" ref="N44:N75" si="6">L44*M44</f>
        <v>251.2</v>
      </c>
      <c r="O44">
        <f t="shared" ref="O44:O75" si="7">N44/K44</f>
        <v>1519.6612220205686</v>
      </c>
      <c r="P44" s="8">
        <f t="shared" ref="P44:P75" si="8">O44/1000</f>
        <v>1.5196612220205685</v>
      </c>
      <c r="Q44" s="8">
        <v>31.9</v>
      </c>
      <c r="R44" s="109">
        <v>3.4</v>
      </c>
      <c r="S44" s="97" t="s">
        <v>237</v>
      </c>
    </row>
    <row r="45" spans="1:20" s="20" customFormat="1" x14ac:dyDescent="0.2">
      <c r="A45" s="56">
        <v>85</v>
      </c>
      <c r="B45" s="56" t="s">
        <v>99</v>
      </c>
      <c r="C45" s="56">
        <v>1712</v>
      </c>
      <c r="D45" s="106" t="s">
        <v>91</v>
      </c>
      <c r="E45" t="s">
        <v>40</v>
      </c>
      <c r="F45">
        <v>35</v>
      </c>
      <c r="G45" t="s">
        <v>34</v>
      </c>
      <c r="H45"/>
      <c r="I45" t="s">
        <v>103</v>
      </c>
      <c r="J45"/>
      <c r="K45" s="56">
        <v>0.1333</v>
      </c>
      <c r="L45">
        <v>39.299999999999997</v>
      </c>
      <c r="M45" s="99">
        <v>4</v>
      </c>
      <c r="N45">
        <f t="shared" si="6"/>
        <v>157.19999999999999</v>
      </c>
      <c r="O45">
        <f t="shared" si="7"/>
        <v>1179.2948237059263</v>
      </c>
      <c r="P45" s="8">
        <f t="shared" si="8"/>
        <v>1.1792948237059264</v>
      </c>
      <c r="Q45" s="8">
        <v>96</v>
      </c>
      <c r="R45" s="109">
        <v>8.23</v>
      </c>
      <c r="S45" s="97" t="s">
        <v>237</v>
      </c>
      <c r="T45"/>
    </row>
    <row r="46" spans="1:20" x14ac:dyDescent="0.2">
      <c r="A46" s="56">
        <v>86</v>
      </c>
      <c r="B46" s="56" t="s">
        <v>99</v>
      </c>
      <c r="C46" s="56">
        <v>1712</v>
      </c>
      <c r="D46" s="106" t="s">
        <v>85</v>
      </c>
      <c r="E46" t="s">
        <v>40</v>
      </c>
      <c r="F46">
        <v>35</v>
      </c>
      <c r="G46" t="s">
        <v>34</v>
      </c>
      <c r="I46" t="s">
        <v>103</v>
      </c>
      <c r="K46" s="56">
        <v>0.109</v>
      </c>
      <c r="L46">
        <v>36.4</v>
      </c>
      <c r="M46" s="99">
        <v>4</v>
      </c>
      <c r="N46">
        <f t="shared" si="6"/>
        <v>145.6</v>
      </c>
      <c r="O46">
        <f t="shared" si="7"/>
        <v>1335.7798165137615</v>
      </c>
      <c r="P46" s="8">
        <f t="shared" si="8"/>
        <v>1.3357798165137615</v>
      </c>
      <c r="Q46" s="8">
        <v>1.4</v>
      </c>
      <c r="R46" s="109">
        <v>0.1</v>
      </c>
      <c r="S46" s="97" t="s">
        <v>237</v>
      </c>
    </row>
    <row r="47" spans="1:20" s="20" customFormat="1" x14ac:dyDescent="0.2">
      <c r="A47" s="56">
        <v>70</v>
      </c>
      <c r="B47" s="56" t="s">
        <v>99</v>
      </c>
      <c r="C47" s="56">
        <v>1714</v>
      </c>
      <c r="D47" s="106" t="s">
        <v>90</v>
      </c>
      <c r="E47" t="s">
        <v>27</v>
      </c>
      <c r="F47"/>
      <c r="G47" t="s">
        <v>104</v>
      </c>
      <c r="H47"/>
      <c r="I47"/>
      <c r="J47"/>
      <c r="K47" s="56">
        <v>0.2127</v>
      </c>
      <c r="L47">
        <v>223.6</v>
      </c>
      <c r="M47" s="99">
        <v>2</v>
      </c>
      <c r="N47">
        <f t="shared" si="6"/>
        <v>447.2</v>
      </c>
      <c r="O47">
        <f t="shared" si="7"/>
        <v>2102.4917724494594</v>
      </c>
      <c r="P47" s="8">
        <f t="shared" si="8"/>
        <v>2.1024917724494596</v>
      </c>
      <c r="Q47" s="8">
        <v>30.2</v>
      </c>
      <c r="R47" s="109">
        <v>5.5</v>
      </c>
      <c r="S47" s="97" t="s">
        <v>242</v>
      </c>
      <c r="T47"/>
    </row>
    <row r="48" spans="1:20" x14ac:dyDescent="0.2">
      <c r="A48" s="56">
        <v>71</v>
      </c>
      <c r="B48" s="56" t="s">
        <v>99</v>
      </c>
      <c r="C48" s="56">
        <v>1714</v>
      </c>
      <c r="D48" s="106" t="s">
        <v>91</v>
      </c>
      <c r="E48" t="s">
        <v>27</v>
      </c>
      <c r="G48" t="s">
        <v>104</v>
      </c>
      <c r="K48" s="56">
        <v>0.15870000000000001</v>
      </c>
      <c r="L48">
        <v>56.8</v>
      </c>
      <c r="M48" s="99">
        <v>2</v>
      </c>
      <c r="N48">
        <f t="shared" si="6"/>
        <v>113.6</v>
      </c>
      <c r="O48">
        <f t="shared" si="7"/>
        <v>715.81600504095775</v>
      </c>
      <c r="P48" s="8">
        <f t="shared" si="8"/>
        <v>0.71581600504095777</v>
      </c>
      <c r="Q48" s="8">
        <v>17.899999999999999</v>
      </c>
      <c r="R48" s="109">
        <v>1.3</v>
      </c>
      <c r="S48" s="97" t="s">
        <v>242</v>
      </c>
    </row>
    <row r="49" spans="1:24" x14ac:dyDescent="0.2">
      <c r="A49" s="56">
        <v>72</v>
      </c>
      <c r="B49" s="56" t="s">
        <v>99</v>
      </c>
      <c r="C49" s="56">
        <v>1714</v>
      </c>
      <c r="D49" s="106" t="s">
        <v>85</v>
      </c>
      <c r="E49" t="s">
        <v>27</v>
      </c>
      <c r="G49" t="s">
        <v>104</v>
      </c>
      <c r="K49" s="56">
        <v>0.19539999999999999</v>
      </c>
      <c r="L49">
        <v>1624.8</v>
      </c>
      <c r="M49" s="99">
        <v>2</v>
      </c>
      <c r="N49">
        <f t="shared" si="6"/>
        <v>3249.6</v>
      </c>
      <c r="O49">
        <f t="shared" si="7"/>
        <v>16630.501535312182</v>
      </c>
      <c r="P49" s="8">
        <f t="shared" si="8"/>
        <v>16.630501535312181</v>
      </c>
      <c r="Q49" s="8">
        <v>0.1</v>
      </c>
      <c r="R49" s="109">
        <v>0.1</v>
      </c>
      <c r="S49" s="97" t="s">
        <v>242</v>
      </c>
    </row>
    <row r="50" spans="1:24" x14ac:dyDescent="0.2">
      <c r="A50" s="56">
        <v>82</v>
      </c>
      <c r="B50" s="56" t="s">
        <v>99</v>
      </c>
      <c r="C50" s="56">
        <v>1720</v>
      </c>
      <c r="D50" s="106" t="s">
        <v>90</v>
      </c>
      <c r="E50" t="s">
        <v>40</v>
      </c>
      <c r="F50">
        <v>35</v>
      </c>
      <c r="G50" t="s">
        <v>104</v>
      </c>
      <c r="K50" s="56">
        <v>0.1668</v>
      </c>
      <c r="L50">
        <v>183.01</v>
      </c>
      <c r="M50" s="99">
        <v>1</v>
      </c>
      <c r="N50">
        <f t="shared" si="6"/>
        <v>183.01</v>
      </c>
      <c r="O50">
        <f t="shared" si="7"/>
        <v>1097.1822541966426</v>
      </c>
      <c r="P50" s="8">
        <f t="shared" si="8"/>
        <v>1.0971822541966425</v>
      </c>
      <c r="Q50" s="8">
        <v>28.5</v>
      </c>
      <c r="R50" s="109">
        <v>4.9000000000000004</v>
      </c>
      <c r="S50" s="97" t="s">
        <v>236</v>
      </c>
    </row>
    <row r="51" spans="1:24" s="20" customFormat="1" x14ac:dyDescent="0.2">
      <c r="A51" s="56">
        <v>82</v>
      </c>
      <c r="B51" s="56" t="s">
        <v>99</v>
      </c>
      <c r="C51" s="56">
        <v>1720</v>
      </c>
      <c r="D51" s="106" t="s">
        <v>90</v>
      </c>
      <c r="E51" t="s">
        <v>40</v>
      </c>
      <c r="F51">
        <v>35</v>
      </c>
      <c r="G51" t="s">
        <v>104</v>
      </c>
      <c r="H51"/>
      <c r="I51"/>
      <c r="J51"/>
      <c r="K51" s="56">
        <v>0.1668</v>
      </c>
      <c r="L51">
        <v>77</v>
      </c>
      <c r="M51" s="99">
        <v>4</v>
      </c>
      <c r="N51">
        <f t="shared" si="6"/>
        <v>308</v>
      </c>
      <c r="O51">
        <f t="shared" si="7"/>
        <v>1846.5227817745804</v>
      </c>
      <c r="P51" s="8">
        <f t="shared" si="8"/>
        <v>1.8465227817745804</v>
      </c>
      <c r="Q51" s="8">
        <v>108.3</v>
      </c>
      <c r="R51" s="109">
        <v>15.2</v>
      </c>
      <c r="S51" s="97" t="s">
        <v>237</v>
      </c>
      <c r="T51"/>
    </row>
    <row r="52" spans="1:24" x14ac:dyDescent="0.2">
      <c r="A52" s="56">
        <v>83</v>
      </c>
      <c r="B52" s="56" t="s">
        <v>99</v>
      </c>
      <c r="C52" s="56">
        <v>1720</v>
      </c>
      <c r="D52" s="106" t="s">
        <v>85</v>
      </c>
      <c r="E52" t="s">
        <v>40</v>
      </c>
      <c r="G52" t="s">
        <v>104</v>
      </c>
      <c r="K52" s="56">
        <v>0.17230000000000001</v>
      </c>
      <c r="L52">
        <v>267.8</v>
      </c>
      <c r="M52" s="99">
        <v>1</v>
      </c>
      <c r="N52">
        <f t="shared" si="6"/>
        <v>267.8</v>
      </c>
      <c r="O52">
        <f t="shared" si="7"/>
        <v>1554.2658154381893</v>
      </c>
      <c r="P52" s="8">
        <f t="shared" si="8"/>
        <v>1.5542658154381892</v>
      </c>
      <c r="Q52" s="8">
        <v>22.9</v>
      </c>
      <c r="R52" s="109">
        <v>4.9000000000000004</v>
      </c>
      <c r="S52" s="97" t="s">
        <v>236</v>
      </c>
      <c r="X52" s="105"/>
    </row>
    <row r="53" spans="1:24" x14ac:dyDescent="0.2">
      <c r="A53" s="56">
        <v>65</v>
      </c>
      <c r="B53" s="56" t="s">
        <v>99</v>
      </c>
      <c r="C53" s="10">
        <v>1723</v>
      </c>
      <c r="D53" s="10" t="s">
        <v>90</v>
      </c>
      <c r="E53" t="s">
        <v>27</v>
      </c>
      <c r="G53" t="s">
        <v>104</v>
      </c>
      <c r="K53" s="10">
        <v>0.19170000000000001</v>
      </c>
      <c r="L53">
        <v>790.96</v>
      </c>
      <c r="M53" s="99">
        <v>2</v>
      </c>
      <c r="N53">
        <f t="shared" si="6"/>
        <v>1581.92</v>
      </c>
      <c r="O53">
        <f t="shared" si="7"/>
        <v>8252.0605112154408</v>
      </c>
      <c r="P53" s="8">
        <f t="shared" si="8"/>
        <v>8.2520605112154399</v>
      </c>
      <c r="Q53" s="8">
        <v>4.0999999999999996</v>
      </c>
      <c r="R53" s="109">
        <v>1.7</v>
      </c>
      <c r="S53" s="97" t="s">
        <v>242</v>
      </c>
    </row>
    <row r="54" spans="1:24" x14ac:dyDescent="0.2">
      <c r="A54" s="56">
        <v>66</v>
      </c>
      <c r="B54" s="56" t="s">
        <v>99</v>
      </c>
      <c r="C54" s="10">
        <v>1723</v>
      </c>
      <c r="D54" s="106" t="s">
        <v>91</v>
      </c>
      <c r="E54" t="s">
        <v>27</v>
      </c>
      <c r="G54" t="s">
        <v>104</v>
      </c>
      <c r="K54" s="56">
        <v>0.16089999999999999</v>
      </c>
      <c r="L54">
        <v>1304</v>
      </c>
      <c r="M54" s="99">
        <v>2</v>
      </c>
      <c r="N54">
        <f t="shared" si="6"/>
        <v>2608</v>
      </c>
      <c r="O54">
        <f t="shared" si="7"/>
        <v>16208.825357364824</v>
      </c>
      <c r="P54" s="8">
        <f t="shared" si="8"/>
        <v>16.208825357364823</v>
      </c>
      <c r="Q54" s="8">
        <v>7</v>
      </c>
      <c r="R54" s="109">
        <v>3.8</v>
      </c>
      <c r="S54" s="97" t="s">
        <v>242</v>
      </c>
    </row>
    <row r="55" spans="1:24" x14ac:dyDescent="0.2">
      <c r="A55" s="56">
        <v>67</v>
      </c>
      <c r="B55" s="56" t="s">
        <v>99</v>
      </c>
      <c r="C55" s="56">
        <v>1724</v>
      </c>
      <c r="D55" s="106" t="s">
        <v>90</v>
      </c>
      <c r="E55" s="56" t="s">
        <v>27</v>
      </c>
      <c r="G55" t="s">
        <v>34</v>
      </c>
      <c r="K55" s="56">
        <v>0.2099</v>
      </c>
      <c r="L55">
        <v>11.3</v>
      </c>
      <c r="M55" s="99">
        <v>2</v>
      </c>
      <c r="N55">
        <f t="shared" si="6"/>
        <v>22.6</v>
      </c>
      <c r="O55">
        <f t="shared" si="7"/>
        <v>107.67031919961887</v>
      </c>
      <c r="P55" s="8">
        <f t="shared" si="8"/>
        <v>0.10767031919961888</v>
      </c>
      <c r="Q55" s="8">
        <v>7.6</v>
      </c>
      <c r="R55" s="109">
        <v>0.2</v>
      </c>
      <c r="S55" s="97" t="s">
        <v>242</v>
      </c>
    </row>
    <row r="56" spans="1:24" x14ac:dyDescent="0.2">
      <c r="A56" s="56">
        <v>68</v>
      </c>
      <c r="B56" s="56" t="s">
        <v>99</v>
      </c>
      <c r="C56" s="56">
        <v>1724</v>
      </c>
      <c r="D56" s="106" t="s">
        <v>91</v>
      </c>
      <c r="E56" s="56" t="s">
        <v>27</v>
      </c>
      <c r="G56" t="s">
        <v>34</v>
      </c>
      <c r="K56" s="56">
        <v>0.1623</v>
      </c>
      <c r="L56">
        <v>9.9</v>
      </c>
      <c r="M56" s="99">
        <v>2</v>
      </c>
      <c r="N56">
        <f t="shared" si="6"/>
        <v>19.8</v>
      </c>
      <c r="O56">
        <f t="shared" si="7"/>
        <v>121.99630314232903</v>
      </c>
      <c r="P56" s="8">
        <f t="shared" si="8"/>
        <v>0.12199630314232902</v>
      </c>
      <c r="Q56" s="8" t="s">
        <v>243</v>
      </c>
      <c r="R56" s="109">
        <v>6.9</v>
      </c>
      <c r="S56" s="97" t="s">
        <v>242</v>
      </c>
    </row>
    <row r="57" spans="1:24" x14ac:dyDescent="0.2">
      <c r="A57" s="56">
        <v>69</v>
      </c>
      <c r="B57" s="56" t="s">
        <v>99</v>
      </c>
      <c r="C57" s="56">
        <v>1724</v>
      </c>
      <c r="D57" s="106" t="s">
        <v>85</v>
      </c>
      <c r="E57" s="56" t="s">
        <v>27</v>
      </c>
      <c r="G57" t="s">
        <v>34</v>
      </c>
      <c r="K57" s="56">
        <v>0.18959999999999999</v>
      </c>
      <c r="L57">
        <v>16.399999999999999</v>
      </c>
      <c r="M57" s="99">
        <v>2</v>
      </c>
      <c r="N57">
        <f t="shared" si="6"/>
        <v>32.799999999999997</v>
      </c>
      <c r="O57">
        <f t="shared" si="7"/>
        <v>172.99578059071729</v>
      </c>
      <c r="P57" s="8">
        <f t="shared" si="8"/>
        <v>0.1729957805907173</v>
      </c>
      <c r="Q57" s="8">
        <v>11.1</v>
      </c>
      <c r="R57" s="109">
        <v>0.3</v>
      </c>
      <c r="S57" s="97" t="s">
        <v>242</v>
      </c>
    </row>
    <row r="58" spans="1:24" x14ac:dyDescent="0.2">
      <c r="A58" s="56">
        <v>98</v>
      </c>
      <c r="B58" s="56" t="s">
        <v>99</v>
      </c>
      <c r="C58" s="56">
        <v>1727</v>
      </c>
      <c r="D58" s="106" t="s">
        <v>90</v>
      </c>
      <c r="E58" t="s">
        <v>40</v>
      </c>
      <c r="F58">
        <v>35</v>
      </c>
      <c r="G58" t="s">
        <v>34</v>
      </c>
      <c r="K58" s="56">
        <v>0.14829999999999999</v>
      </c>
      <c r="L58">
        <v>56.2</v>
      </c>
      <c r="M58" s="99">
        <v>4</v>
      </c>
      <c r="N58">
        <f t="shared" si="6"/>
        <v>224.8</v>
      </c>
      <c r="O58">
        <f t="shared" si="7"/>
        <v>1515.8462575859746</v>
      </c>
      <c r="P58" s="8">
        <f t="shared" si="8"/>
        <v>1.5158462575859746</v>
      </c>
      <c r="Q58" s="8">
        <v>33.700000000000003</v>
      </c>
      <c r="R58" s="109">
        <v>3.3</v>
      </c>
      <c r="S58" s="97" t="s">
        <v>237</v>
      </c>
    </row>
    <row r="59" spans="1:24" x14ac:dyDescent="0.2">
      <c r="A59" s="56">
        <v>99</v>
      </c>
      <c r="B59" s="56" t="s">
        <v>99</v>
      </c>
      <c r="C59" s="56">
        <v>1727</v>
      </c>
      <c r="D59" s="106" t="s">
        <v>91</v>
      </c>
      <c r="E59" t="s">
        <v>40</v>
      </c>
      <c r="G59" t="s">
        <v>34</v>
      </c>
      <c r="K59" s="56">
        <v>0.13650000000000001</v>
      </c>
      <c r="L59">
        <v>70.900000000000006</v>
      </c>
      <c r="M59" s="99">
        <v>1</v>
      </c>
      <c r="N59">
        <f t="shared" si="6"/>
        <v>70.900000000000006</v>
      </c>
      <c r="O59">
        <f t="shared" si="7"/>
        <v>519.41391941391942</v>
      </c>
      <c r="P59" s="8">
        <f t="shared" si="8"/>
        <v>0.51941391941391946</v>
      </c>
      <c r="Q59" s="8">
        <v>63.2</v>
      </c>
      <c r="R59" s="109">
        <v>6.4</v>
      </c>
      <c r="S59" s="97" t="s">
        <v>236</v>
      </c>
    </row>
    <row r="60" spans="1:24" x14ac:dyDescent="0.2">
      <c r="A60" s="56">
        <v>100</v>
      </c>
      <c r="B60" s="56" t="s">
        <v>99</v>
      </c>
      <c r="C60" s="56">
        <v>1727</v>
      </c>
      <c r="D60" s="106" t="s">
        <v>85</v>
      </c>
      <c r="E60" t="s">
        <v>40</v>
      </c>
      <c r="G60" t="s">
        <v>34</v>
      </c>
      <c r="K60" s="56">
        <v>0.20780000000000001</v>
      </c>
      <c r="L60">
        <v>87.7</v>
      </c>
      <c r="M60" s="99">
        <v>1</v>
      </c>
      <c r="N60">
        <f t="shared" si="6"/>
        <v>87.7</v>
      </c>
      <c r="O60">
        <f t="shared" si="7"/>
        <v>422.04042348411934</v>
      </c>
      <c r="P60" s="8">
        <f t="shared" si="8"/>
        <v>0.42204042348411935</v>
      </c>
      <c r="Q60" s="8">
        <v>5.7</v>
      </c>
      <c r="R60" s="109">
        <v>0.6</v>
      </c>
      <c r="S60" s="97" t="s">
        <v>236</v>
      </c>
    </row>
    <row r="61" spans="1:24" x14ac:dyDescent="0.2">
      <c r="A61" s="56">
        <v>79</v>
      </c>
      <c r="B61" s="56" t="s">
        <v>99</v>
      </c>
      <c r="C61" s="56">
        <v>1732</v>
      </c>
      <c r="D61" s="106" t="s">
        <v>90</v>
      </c>
      <c r="E61" t="s">
        <v>40</v>
      </c>
      <c r="F61">
        <v>35</v>
      </c>
      <c r="G61" t="s">
        <v>34</v>
      </c>
      <c r="K61" s="56">
        <v>0.1459</v>
      </c>
      <c r="L61">
        <v>84.7</v>
      </c>
      <c r="M61" s="99">
        <v>1</v>
      </c>
      <c r="N61">
        <f t="shared" si="6"/>
        <v>84.7</v>
      </c>
      <c r="O61">
        <f t="shared" si="7"/>
        <v>580.5346127484579</v>
      </c>
      <c r="P61" s="8">
        <f t="shared" si="8"/>
        <v>0.58053461274845786</v>
      </c>
      <c r="Q61" s="8">
        <v>38.799999999999997</v>
      </c>
      <c r="R61" s="109">
        <v>4.2</v>
      </c>
      <c r="S61" s="97" t="s">
        <v>236</v>
      </c>
    </row>
    <row r="62" spans="1:24" x14ac:dyDescent="0.2">
      <c r="A62" s="56">
        <v>80</v>
      </c>
      <c r="B62" s="56" t="s">
        <v>99</v>
      </c>
      <c r="C62" s="56">
        <v>1732</v>
      </c>
      <c r="D62" s="106" t="s">
        <v>91</v>
      </c>
      <c r="E62" t="s">
        <v>40</v>
      </c>
      <c r="F62">
        <v>35</v>
      </c>
      <c r="G62" t="s">
        <v>34</v>
      </c>
      <c r="K62" s="56">
        <v>0.125</v>
      </c>
      <c r="L62">
        <v>36.9</v>
      </c>
      <c r="M62" s="99">
        <v>4</v>
      </c>
      <c r="N62">
        <f t="shared" si="6"/>
        <v>147.6</v>
      </c>
      <c r="O62">
        <f t="shared" si="7"/>
        <v>1180.8</v>
      </c>
      <c r="P62" s="8">
        <f t="shared" si="8"/>
        <v>1.1807999999999998</v>
      </c>
      <c r="Q62" s="8">
        <v>3</v>
      </c>
      <c r="R62" s="109">
        <v>0.22</v>
      </c>
      <c r="S62" s="97" t="s">
        <v>237</v>
      </c>
    </row>
    <row r="63" spans="1:24" x14ac:dyDescent="0.2">
      <c r="A63" s="56">
        <v>81</v>
      </c>
      <c r="B63" s="56" t="s">
        <v>99</v>
      </c>
      <c r="C63" s="56">
        <v>1732</v>
      </c>
      <c r="D63" s="106" t="s">
        <v>85</v>
      </c>
      <c r="E63" t="s">
        <v>40</v>
      </c>
      <c r="F63">
        <v>35</v>
      </c>
      <c r="G63" t="s">
        <v>34</v>
      </c>
      <c r="K63" s="56">
        <v>0.17599999999999999</v>
      </c>
      <c r="L63">
        <v>28.2</v>
      </c>
      <c r="M63" s="99">
        <v>4</v>
      </c>
      <c r="N63">
        <f t="shared" si="6"/>
        <v>112.8</v>
      </c>
      <c r="O63">
        <f t="shared" si="7"/>
        <v>640.90909090909088</v>
      </c>
      <c r="P63" s="8">
        <f t="shared" si="8"/>
        <v>0.64090909090909087</v>
      </c>
      <c r="Q63" s="8">
        <v>17</v>
      </c>
      <c r="R63" s="109">
        <v>1</v>
      </c>
      <c r="S63" s="97" t="s">
        <v>237</v>
      </c>
    </row>
    <row r="64" spans="1:24" x14ac:dyDescent="0.2">
      <c r="A64" s="56">
        <v>90</v>
      </c>
      <c r="B64" s="56" t="s">
        <v>99</v>
      </c>
      <c r="C64" s="56">
        <v>1740</v>
      </c>
      <c r="D64" s="106" t="s">
        <v>90</v>
      </c>
      <c r="E64" t="s">
        <v>40</v>
      </c>
      <c r="F64">
        <v>35</v>
      </c>
      <c r="G64" t="s">
        <v>34</v>
      </c>
      <c r="K64" s="56">
        <v>0.16919999999999999</v>
      </c>
      <c r="L64">
        <v>239.6</v>
      </c>
      <c r="M64" s="99">
        <v>4</v>
      </c>
      <c r="N64">
        <f t="shared" si="6"/>
        <v>958.4</v>
      </c>
      <c r="O64">
        <f t="shared" si="7"/>
        <v>5664.3026004728135</v>
      </c>
      <c r="P64" s="8">
        <f t="shared" si="8"/>
        <v>5.6643026004728139</v>
      </c>
      <c r="Q64" s="8">
        <v>19</v>
      </c>
      <c r="R64" s="109">
        <v>4.5999999999999996</v>
      </c>
      <c r="S64" s="97" t="s">
        <v>237</v>
      </c>
    </row>
    <row r="65" spans="1:20" x14ac:dyDescent="0.2">
      <c r="A65" s="56">
        <v>91</v>
      </c>
      <c r="B65" s="56" t="s">
        <v>99</v>
      </c>
      <c r="C65" s="56">
        <v>1740</v>
      </c>
      <c r="D65" s="106" t="s">
        <v>85</v>
      </c>
      <c r="E65" t="s">
        <v>40</v>
      </c>
      <c r="G65" t="s">
        <v>34</v>
      </c>
      <c r="K65" s="56">
        <v>0.12959999999999999</v>
      </c>
      <c r="L65">
        <v>160.30000000000001</v>
      </c>
      <c r="M65" s="99">
        <v>1</v>
      </c>
      <c r="N65">
        <f t="shared" si="6"/>
        <v>160.30000000000001</v>
      </c>
      <c r="O65">
        <f t="shared" si="7"/>
        <v>1236.8827160493829</v>
      </c>
      <c r="P65" s="8">
        <f t="shared" si="8"/>
        <v>1.2368827160493829</v>
      </c>
      <c r="Q65" s="8">
        <v>29.2</v>
      </c>
      <c r="R65" s="109">
        <v>4.7</v>
      </c>
      <c r="S65" s="97" t="s">
        <v>236</v>
      </c>
    </row>
    <row r="66" spans="1:20" x14ac:dyDescent="0.2">
      <c r="A66">
        <v>19</v>
      </c>
      <c r="B66" s="20" t="s">
        <v>70</v>
      </c>
      <c r="C66" s="20">
        <v>180413</v>
      </c>
      <c r="D66" s="1" t="s">
        <v>17</v>
      </c>
      <c r="E66" t="s">
        <v>40</v>
      </c>
      <c r="F66" t="s">
        <v>28</v>
      </c>
      <c r="G66" t="s">
        <v>30</v>
      </c>
      <c r="H66">
        <v>3.5</v>
      </c>
      <c r="I66" t="s">
        <v>41</v>
      </c>
      <c r="K66">
        <v>0.27729999999999999</v>
      </c>
      <c r="L66">
        <v>94.72</v>
      </c>
      <c r="M66">
        <v>2</v>
      </c>
      <c r="N66">
        <f t="shared" si="6"/>
        <v>189.44</v>
      </c>
      <c r="O66">
        <f t="shared" si="7"/>
        <v>683.15903353768488</v>
      </c>
      <c r="P66" s="8">
        <f t="shared" si="8"/>
        <v>0.68315903353768492</v>
      </c>
      <c r="Q66" s="8"/>
      <c r="R66" s="109"/>
      <c r="S66" s="97">
        <v>43582</v>
      </c>
    </row>
    <row r="67" spans="1:20" x14ac:dyDescent="0.2">
      <c r="A67">
        <v>20</v>
      </c>
      <c r="B67" s="20" t="s">
        <v>70</v>
      </c>
      <c r="C67" s="20">
        <v>180413</v>
      </c>
      <c r="D67" s="1" t="s">
        <v>13</v>
      </c>
      <c r="E67" t="s">
        <v>40</v>
      </c>
      <c r="F67" t="s">
        <v>28</v>
      </c>
      <c r="G67" t="s">
        <v>30</v>
      </c>
      <c r="H67">
        <v>3.5</v>
      </c>
      <c r="I67" t="s">
        <v>41</v>
      </c>
      <c r="K67">
        <v>0.25629999999999997</v>
      </c>
      <c r="L67">
        <v>30.4</v>
      </c>
      <c r="M67">
        <v>4</v>
      </c>
      <c r="N67">
        <f t="shared" si="6"/>
        <v>121.6</v>
      </c>
      <c r="O67">
        <f t="shared" si="7"/>
        <v>474.44401092469764</v>
      </c>
      <c r="P67" s="8">
        <f t="shared" si="8"/>
        <v>0.47444401092469762</v>
      </c>
      <c r="Q67" s="8"/>
      <c r="R67" s="109"/>
      <c r="S67" s="97">
        <v>43592</v>
      </c>
      <c r="T67" t="s">
        <v>66</v>
      </c>
    </row>
    <row r="68" spans="1:20" x14ac:dyDescent="0.2">
      <c r="A68" s="20">
        <v>57</v>
      </c>
      <c r="B68" s="20" t="s">
        <v>70</v>
      </c>
      <c r="C68" s="20">
        <v>180413</v>
      </c>
      <c r="D68" s="20">
        <v>35</v>
      </c>
      <c r="E68" s="20" t="s">
        <v>40</v>
      </c>
      <c r="F68" s="20"/>
      <c r="G68" s="20"/>
      <c r="H68" s="20"/>
      <c r="I68" s="20" t="s">
        <v>138</v>
      </c>
      <c r="J68" s="20"/>
      <c r="K68" s="20">
        <v>0.193</v>
      </c>
      <c r="L68" s="102">
        <v>58.1</v>
      </c>
      <c r="M68" s="103">
        <v>4</v>
      </c>
      <c r="N68" s="20">
        <f t="shared" si="6"/>
        <v>232.4</v>
      </c>
      <c r="O68" s="20">
        <f t="shared" si="7"/>
        <v>1204.1450777202072</v>
      </c>
      <c r="P68" s="104">
        <f t="shared" si="8"/>
        <v>1.2041450777202072</v>
      </c>
      <c r="Q68" s="104">
        <v>42.3</v>
      </c>
      <c r="R68" s="110">
        <v>4.3</v>
      </c>
      <c r="S68" s="97" t="s">
        <v>237</v>
      </c>
      <c r="T68" s="20"/>
    </row>
    <row r="69" spans="1:20" x14ac:dyDescent="0.2">
      <c r="A69" s="56">
        <v>73</v>
      </c>
      <c r="B69" s="56" t="s">
        <v>70</v>
      </c>
      <c r="C69" s="56">
        <v>190402</v>
      </c>
      <c r="D69" s="106" t="s">
        <v>90</v>
      </c>
      <c r="E69" t="s">
        <v>27</v>
      </c>
      <c r="G69" t="s">
        <v>34</v>
      </c>
      <c r="K69" s="56">
        <v>0.19120000000000001</v>
      </c>
      <c r="L69">
        <v>316.5</v>
      </c>
      <c r="M69" s="99">
        <v>2</v>
      </c>
      <c r="N69">
        <f t="shared" si="6"/>
        <v>633</v>
      </c>
      <c r="O69">
        <f t="shared" si="7"/>
        <v>3310.6694560669453</v>
      </c>
      <c r="P69" s="8">
        <f t="shared" si="8"/>
        <v>3.3106694560669454</v>
      </c>
      <c r="Q69" s="8">
        <v>1.99</v>
      </c>
      <c r="R69" s="109">
        <v>0.4</v>
      </c>
      <c r="S69" s="97" t="s">
        <v>242</v>
      </c>
    </row>
    <row r="70" spans="1:20" x14ac:dyDescent="0.2">
      <c r="A70" s="56">
        <v>74</v>
      </c>
      <c r="B70" s="56" t="s">
        <v>70</v>
      </c>
      <c r="C70" s="56">
        <v>190402</v>
      </c>
      <c r="D70" s="106" t="s">
        <v>91</v>
      </c>
      <c r="E70" t="s">
        <v>27</v>
      </c>
      <c r="G70" t="s">
        <v>34</v>
      </c>
      <c r="K70" s="56">
        <v>0.1938</v>
      </c>
      <c r="L70">
        <v>47.7</v>
      </c>
      <c r="M70" s="99">
        <v>2</v>
      </c>
      <c r="N70">
        <f t="shared" si="6"/>
        <v>95.4</v>
      </c>
      <c r="O70">
        <f t="shared" si="7"/>
        <v>492.26006191950466</v>
      </c>
      <c r="P70" s="8">
        <f t="shared" si="8"/>
        <v>0.49226006191950467</v>
      </c>
      <c r="Q70" s="8">
        <v>44.1</v>
      </c>
      <c r="R70" s="109">
        <v>2.9</v>
      </c>
      <c r="S70" s="97" t="s">
        <v>242</v>
      </c>
    </row>
    <row r="71" spans="1:20" x14ac:dyDescent="0.2">
      <c r="A71" s="56">
        <v>75</v>
      </c>
      <c r="B71" s="56" t="s">
        <v>70</v>
      </c>
      <c r="C71" s="56">
        <v>190402</v>
      </c>
      <c r="D71" s="106" t="s">
        <v>85</v>
      </c>
      <c r="E71" t="s">
        <v>27</v>
      </c>
      <c r="F71">
        <v>35</v>
      </c>
      <c r="G71" t="s">
        <v>34</v>
      </c>
      <c r="K71" s="56">
        <v>0.2135</v>
      </c>
      <c r="L71">
        <v>73.459999999999994</v>
      </c>
      <c r="M71" s="99">
        <v>4</v>
      </c>
      <c r="N71">
        <f t="shared" si="6"/>
        <v>293.83999999999997</v>
      </c>
      <c r="O71">
        <f t="shared" si="7"/>
        <v>1376.2997658079623</v>
      </c>
      <c r="P71" s="8">
        <f t="shared" si="8"/>
        <v>1.3762997658079623</v>
      </c>
      <c r="Q71" s="8">
        <v>14.7</v>
      </c>
      <c r="R71" s="109">
        <v>1.7</v>
      </c>
      <c r="S71" s="97" t="s">
        <v>237</v>
      </c>
    </row>
    <row r="72" spans="1:20" x14ac:dyDescent="0.2">
      <c r="A72" s="56">
        <v>95</v>
      </c>
      <c r="B72" t="s">
        <v>70</v>
      </c>
      <c r="C72" s="56">
        <v>190417</v>
      </c>
      <c r="D72" s="106" t="s">
        <v>90</v>
      </c>
      <c r="E72" t="s">
        <v>27</v>
      </c>
      <c r="F72">
        <v>70</v>
      </c>
      <c r="G72" t="s">
        <v>34</v>
      </c>
      <c r="K72" s="56">
        <v>0.19769999999999999</v>
      </c>
      <c r="L72">
        <v>184</v>
      </c>
      <c r="M72" s="99">
        <v>2</v>
      </c>
      <c r="N72">
        <f t="shared" si="6"/>
        <v>368</v>
      </c>
      <c r="O72">
        <f t="shared" si="7"/>
        <v>1861.4061709661105</v>
      </c>
      <c r="P72" s="8">
        <f t="shared" si="8"/>
        <v>1.8614061709661105</v>
      </c>
      <c r="Q72" s="8">
        <v>4.5999999999999996</v>
      </c>
      <c r="R72" s="109">
        <v>0.9</v>
      </c>
      <c r="S72" s="97" t="s">
        <v>237</v>
      </c>
    </row>
    <row r="73" spans="1:20" x14ac:dyDescent="0.2">
      <c r="A73" s="56">
        <v>96</v>
      </c>
      <c r="B73" t="s">
        <v>70</v>
      </c>
      <c r="C73" s="56">
        <v>190417</v>
      </c>
      <c r="D73" s="106" t="s">
        <v>91</v>
      </c>
      <c r="E73" t="s">
        <v>27</v>
      </c>
      <c r="G73" t="s">
        <v>34</v>
      </c>
      <c r="K73" s="56">
        <v>9.5699999999999993E-2</v>
      </c>
      <c r="L73">
        <v>82.5</v>
      </c>
      <c r="M73" s="99">
        <v>1</v>
      </c>
      <c r="N73">
        <f t="shared" si="6"/>
        <v>82.5</v>
      </c>
      <c r="O73">
        <f t="shared" si="7"/>
        <v>862.06896551724139</v>
      </c>
      <c r="P73" s="8">
        <f t="shared" si="8"/>
        <v>0.86206896551724144</v>
      </c>
      <c r="Q73" s="8">
        <v>43.8</v>
      </c>
      <c r="R73" s="109">
        <v>4.8</v>
      </c>
      <c r="S73" s="97" t="s">
        <v>236</v>
      </c>
    </row>
    <row r="74" spans="1:20" x14ac:dyDescent="0.2">
      <c r="A74" s="56">
        <v>97</v>
      </c>
      <c r="B74" t="s">
        <v>70</v>
      </c>
      <c r="C74" s="56">
        <v>190417</v>
      </c>
      <c r="D74" s="106" t="s">
        <v>85</v>
      </c>
      <c r="E74" t="s">
        <v>27</v>
      </c>
      <c r="G74" t="s">
        <v>34</v>
      </c>
      <c r="K74" s="56">
        <v>0.10249999999999999</v>
      </c>
      <c r="L74">
        <v>74</v>
      </c>
      <c r="M74" s="99">
        <v>1</v>
      </c>
      <c r="N74">
        <f t="shared" si="6"/>
        <v>74</v>
      </c>
      <c r="O74">
        <f t="shared" si="7"/>
        <v>721.95121951219517</v>
      </c>
      <c r="P74" s="8">
        <f t="shared" si="8"/>
        <v>0.72195121951219521</v>
      </c>
      <c r="Q74" s="8">
        <v>33.299999999999997</v>
      </c>
      <c r="R74" s="109">
        <v>3.3</v>
      </c>
      <c r="S74" s="97" t="s">
        <v>236</v>
      </c>
    </row>
    <row r="75" spans="1:20" x14ac:dyDescent="0.2">
      <c r="A75" s="56">
        <v>87</v>
      </c>
      <c r="B75" s="56" t="s">
        <v>70</v>
      </c>
      <c r="C75" s="56">
        <v>190430</v>
      </c>
      <c r="D75" s="106" t="s">
        <v>90</v>
      </c>
      <c r="E75" t="s">
        <v>27</v>
      </c>
      <c r="G75" t="s">
        <v>34</v>
      </c>
      <c r="K75" s="56">
        <v>0.104</v>
      </c>
      <c r="L75">
        <v>165.8</v>
      </c>
      <c r="M75" s="99">
        <v>2</v>
      </c>
      <c r="N75">
        <f t="shared" si="6"/>
        <v>331.6</v>
      </c>
      <c r="O75">
        <f t="shared" si="7"/>
        <v>3188.461538461539</v>
      </c>
      <c r="P75" s="8">
        <f t="shared" si="8"/>
        <v>3.1884615384615391</v>
      </c>
      <c r="Q75" s="8">
        <v>8</v>
      </c>
      <c r="R75" s="109">
        <v>1.2</v>
      </c>
      <c r="S75" s="97" t="s">
        <v>242</v>
      </c>
    </row>
    <row r="76" spans="1:20" x14ac:dyDescent="0.2">
      <c r="A76" s="56">
        <v>88</v>
      </c>
      <c r="B76" s="56" t="s">
        <v>70</v>
      </c>
      <c r="C76" s="56">
        <v>190430</v>
      </c>
      <c r="D76" s="106" t="s">
        <v>91</v>
      </c>
      <c r="E76" t="s">
        <v>27</v>
      </c>
      <c r="G76" t="s">
        <v>34</v>
      </c>
      <c r="K76" s="56">
        <v>0.153</v>
      </c>
      <c r="L76">
        <v>60.3</v>
      </c>
      <c r="M76" s="99">
        <v>2</v>
      </c>
      <c r="N76">
        <f t="shared" ref="N76:N107" si="9">L76*M76</f>
        <v>120.6</v>
      </c>
      <c r="O76">
        <f t="shared" ref="O76:O107" si="10">N76/K76</f>
        <v>788.23529411764707</v>
      </c>
      <c r="P76" s="8">
        <f t="shared" ref="P76:P107" si="11">O76/1000</f>
        <v>0.78823529411764703</v>
      </c>
      <c r="Q76" s="8">
        <v>18.100000000000001</v>
      </c>
      <c r="R76" s="109">
        <v>1.3</v>
      </c>
      <c r="S76" s="97" t="s">
        <v>242</v>
      </c>
    </row>
    <row r="77" spans="1:20" x14ac:dyDescent="0.2">
      <c r="A77" s="56">
        <v>89</v>
      </c>
      <c r="B77" s="56" t="s">
        <v>70</v>
      </c>
      <c r="C77" s="56">
        <v>190430</v>
      </c>
      <c r="D77" s="106" t="s">
        <v>85</v>
      </c>
      <c r="E77" t="s">
        <v>27</v>
      </c>
      <c r="G77" t="s">
        <v>34</v>
      </c>
      <c r="K77" s="56">
        <v>0.21249999999999999</v>
      </c>
      <c r="L77">
        <v>61.9</v>
      </c>
      <c r="M77" s="99">
        <v>2</v>
      </c>
      <c r="N77">
        <f t="shared" si="9"/>
        <v>123.8</v>
      </c>
      <c r="O77">
        <f t="shared" si="10"/>
        <v>582.58823529411768</v>
      </c>
      <c r="P77" s="8">
        <f t="shared" si="11"/>
        <v>0.58258823529411763</v>
      </c>
      <c r="Q77" s="8">
        <v>8.6</v>
      </c>
      <c r="R77" s="109">
        <v>0.6</v>
      </c>
      <c r="S77" s="97" t="s">
        <v>242</v>
      </c>
    </row>
    <row r="78" spans="1:20" x14ac:dyDescent="0.2">
      <c r="A78">
        <v>24</v>
      </c>
      <c r="B78" s="20" t="s">
        <v>100</v>
      </c>
      <c r="C78" s="20">
        <v>201730</v>
      </c>
      <c r="D78" s="1" t="s">
        <v>19</v>
      </c>
      <c r="E78" t="s">
        <v>40</v>
      </c>
      <c r="F78" t="s">
        <v>42</v>
      </c>
      <c r="G78" t="s">
        <v>43</v>
      </c>
      <c r="H78">
        <v>3</v>
      </c>
      <c r="I78" t="s">
        <v>41</v>
      </c>
      <c r="J78" t="s">
        <v>24</v>
      </c>
      <c r="K78">
        <v>0.22620000000000001</v>
      </c>
      <c r="L78">
        <v>177.92</v>
      </c>
      <c r="M78">
        <v>4</v>
      </c>
      <c r="N78">
        <f t="shared" si="9"/>
        <v>711.68</v>
      </c>
      <c r="O78">
        <f t="shared" si="10"/>
        <v>3146.2422634836425</v>
      </c>
      <c r="P78" s="8">
        <f t="shared" si="11"/>
        <v>3.1462422634836424</v>
      </c>
      <c r="Q78" s="8"/>
      <c r="R78" s="109"/>
      <c r="S78" s="97">
        <v>43558</v>
      </c>
    </row>
    <row r="79" spans="1:20" x14ac:dyDescent="0.2">
      <c r="A79">
        <v>25</v>
      </c>
      <c r="B79" s="20" t="s">
        <v>100</v>
      </c>
      <c r="C79" s="20">
        <v>201730</v>
      </c>
      <c r="D79" s="1" t="s">
        <v>20</v>
      </c>
      <c r="E79" t="s">
        <v>40</v>
      </c>
      <c r="F79" t="s">
        <v>42</v>
      </c>
      <c r="G79" t="s">
        <v>43</v>
      </c>
      <c r="H79">
        <v>3</v>
      </c>
      <c r="I79" t="s">
        <v>41</v>
      </c>
      <c r="J79" t="s">
        <v>24</v>
      </c>
      <c r="K79">
        <v>0.12939999999999999</v>
      </c>
      <c r="L79">
        <v>130.56</v>
      </c>
      <c r="M79">
        <v>4</v>
      </c>
      <c r="N79">
        <f t="shared" si="9"/>
        <v>522.24</v>
      </c>
      <c r="O79">
        <f t="shared" si="10"/>
        <v>4035.8578052550238</v>
      </c>
      <c r="P79" s="8">
        <f t="shared" si="11"/>
        <v>4.0358578052550236</v>
      </c>
      <c r="Q79" s="8"/>
      <c r="R79" s="109"/>
      <c r="S79" s="97">
        <v>43558</v>
      </c>
    </row>
    <row r="80" spans="1:20" x14ac:dyDescent="0.2">
      <c r="A80" s="20">
        <v>59</v>
      </c>
      <c r="B80" s="20" t="s">
        <v>100</v>
      </c>
      <c r="C80" s="20">
        <v>201730</v>
      </c>
      <c r="D80" s="20">
        <v>35</v>
      </c>
      <c r="E80" s="20" t="s">
        <v>40</v>
      </c>
      <c r="F80" s="20"/>
      <c r="G80" s="20"/>
      <c r="H80" s="20"/>
      <c r="I80" s="20" t="s">
        <v>139</v>
      </c>
      <c r="J80" s="20"/>
      <c r="K80" s="20">
        <v>0.16059999999999999</v>
      </c>
      <c r="L80" s="20">
        <v>258.39999999999998</v>
      </c>
      <c r="M80" s="103">
        <v>4</v>
      </c>
      <c r="N80" s="20">
        <f t="shared" si="9"/>
        <v>1033.5999999999999</v>
      </c>
      <c r="O80" s="20">
        <f t="shared" si="10"/>
        <v>6435.865504358655</v>
      </c>
      <c r="P80" s="104">
        <f t="shared" si="11"/>
        <v>6.435865504358655</v>
      </c>
      <c r="Q80" s="104">
        <v>27.5</v>
      </c>
      <c r="R80" s="110">
        <v>7</v>
      </c>
      <c r="S80" s="97" t="s">
        <v>237</v>
      </c>
      <c r="T80" s="20"/>
    </row>
    <row r="81" spans="1:20" ht="12" customHeight="1" x14ac:dyDescent="0.2">
      <c r="A81">
        <v>32</v>
      </c>
      <c r="B81" s="20" t="s">
        <v>100</v>
      </c>
      <c r="C81" s="20">
        <v>2011090</v>
      </c>
      <c r="D81" s="1" t="s">
        <v>19</v>
      </c>
      <c r="E81" t="s">
        <v>40</v>
      </c>
      <c r="F81" t="s">
        <v>36</v>
      </c>
      <c r="G81" t="s">
        <v>38</v>
      </c>
      <c r="H81">
        <v>2</v>
      </c>
      <c r="I81" t="s">
        <v>37</v>
      </c>
      <c r="J81" t="s">
        <v>46</v>
      </c>
      <c r="K81">
        <v>0.3906</v>
      </c>
      <c r="L81">
        <v>1606.4</v>
      </c>
      <c r="M81">
        <v>4</v>
      </c>
      <c r="N81">
        <f t="shared" si="9"/>
        <v>6425.6</v>
      </c>
      <c r="O81">
        <f t="shared" si="10"/>
        <v>16450.588837685613</v>
      </c>
      <c r="P81" s="8">
        <f t="shared" si="11"/>
        <v>16.450588837685611</v>
      </c>
      <c r="Q81" s="8"/>
      <c r="R81" s="109"/>
      <c r="S81" s="97">
        <v>43558</v>
      </c>
    </row>
    <row r="82" spans="1:20" x14ac:dyDescent="0.2">
      <c r="A82">
        <v>33</v>
      </c>
      <c r="B82" s="20" t="s">
        <v>100</v>
      </c>
      <c r="C82" s="20">
        <v>2011090</v>
      </c>
      <c r="D82" s="1" t="s">
        <v>11</v>
      </c>
      <c r="E82" t="s">
        <v>40</v>
      </c>
      <c r="F82" t="s">
        <v>36</v>
      </c>
      <c r="G82" t="s">
        <v>38</v>
      </c>
      <c r="H82">
        <v>2</v>
      </c>
      <c r="I82" t="s">
        <v>37</v>
      </c>
      <c r="K82">
        <v>0.28029999999999999</v>
      </c>
      <c r="L82">
        <v>730.88</v>
      </c>
      <c r="M82">
        <v>4</v>
      </c>
      <c r="N82">
        <f t="shared" si="9"/>
        <v>2923.52</v>
      </c>
      <c r="O82">
        <f t="shared" si="10"/>
        <v>10429.967891544773</v>
      </c>
      <c r="P82" s="8">
        <f t="shared" si="11"/>
        <v>10.429967891544774</v>
      </c>
      <c r="Q82" s="8"/>
      <c r="R82" s="109"/>
      <c r="S82" s="97">
        <v>43558</v>
      </c>
    </row>
    <row r="83" spans="1:20" x14ac:dyDescent="0.2">
      <c r="A83" s="20">
        <v>63</v>
      </c>
      <c r="B83" s="20" t="s">
        <v>100</v>
      </c>
      <c r="C83" s="20">
        <v>2011090</v>
      </c>
      <c r="D83" s="20">
        <v>35</v>
      </c>
      <c r="E83" s="20" t="s">
        <v>40</v>
      </c>
      <c r="F83" s="20"/>
      <c r="G83" s="20"/>
      <c r="H83" s="20"/>
      <c r="I83" s="20"/>
      <c r="J83" s="20"/>
      <c r="K83" s="20">
        <v>0.20269999999999999</v>
      </c>
      <c r="L83" s="20">
        <v>834.3</v>
      </c>
      <c r="M83" s="103">
        <v>4</v>
      </c>
      <c r="N83">
        <f t="shared" si="9"/>
        <v>3337.2</v>
      </c>
      <c r="O83">
        <f t="shared" si="10"/>
        <v>16463.739516526886</v>
      </c>
      <c r="P83" s="8">
        <f t="shared" si="11"/>
        <v>16.463739516526886</v>
      </c>
      <c r="Q83" s="8">
        <v>3.8</v>
      </c>
      <c r="R83" s="109">
        <v>1.8</v>
      </c>
      <c r="S83" s="97" t="s">
        <v>237</v>
      </c>
      <c r="T83" s="20"/>
    </row>
    <row r="84" spans="1:20" x14ac:dyDescent="0.2">
      <c r="A84" s="20">
        <v>122</v>
      </c>
      <c r="B84" s="20" t="s">
        <v>102</v>
      </c>
      <c r="C84" s="20">
        <v>2017109</v>
      </c>
      <c r="D84" s="107" t="s">
        <v>137</v>
      </c>
      <c r="E84" s="20"/>
      <c r="F84" s="20"/>
      <c r="G84" s="20"/>
      <c r="H84" s="20"/>
      <c r="I84" s="20"/>
      <c r="J84" s="20"/>
      <c r="K84" s="20">
        <v>0.14560000000000001</v>
      </c>
      <c r="L84" s="20">
        <v>103</v>
      </c>
      <c r="M84" s="99">
        <v>4</v>
      </c>
      <c r="N84">
        <f t="shared" si="9"/>
        <v>412</v>
      </c>
      <c r="O84">
        <f t="shared" si="10"/>
        <v>2829.6703296703295</v>
      </c>
      <c r="P84" s="8">
        <f t="shared" si="11"/>
        <v>2.8296703296703294</v>
      </c>
      <c r="Q84" s="8">
        <v>25.5</v>
      </c>
      <c r="R84" s="109">
        <v>3.7</v>
      </c>
      <c r="S84" s="97" t="s">
        <v>237</v>
      </c>
      <c r="T84" s="20"/>
    </row>
    <row r="85" spans="1:20" x14ac:dyDescent="0.2">
      <c r="A85" s="56">
        <v>123</v>
      </c>
      <c r="B85" s="56" t="s">
        <v>102</v>
      </c>
      <c r="C85">
        <v>2017109</v>
      </c>
      <c r="D85" s="1" t="s">
        <v>89</v>
      </c>
      <c r="K85" s="56">
        <v>0.20069999999999999</v>
      </c>
      <c r="L85">
        <v>63.2</v>
      </c>
      <c r="M85" s="99">
        <v>4</v>
      </c>
      <c r="N85">
        <f t="shared" si="9"/>
        <v>252.8</v>
      </c>
      <c r="O85">
        <f t="shared" si="10"/>
        <v>1259.5914299950175</v>
      </c>
      <c r="P85" s="8">
        <f t="shared" si="11"/>
        <v>1.2595914299950175</v>
      </c>
      <c r="Q85" s="8">
        <v>65.2</v>
      </c>
      <c r="R85" s="109">
        <v>7.2</v>
      </c>
      <c r="S85" s="97" t="s">
        <v>237</v>
      </c>
    </row>
    <row r="86" spans="1:20" x14ac:dyDescent="0.2">
      <c r="A86" s="56">
        <v>104</v>
      </c>
      <c r="B86" s="56" t="s">
        <v>102</v>
      </c>
      <c r="C86">
        <v>2018088</v>
      </c>
      <c r="D86" s="106" t="s">
        <v>93</v>
      </c>
      <c r="E86" s="56" t="s">
        <v>27</v>
      </c>
      <c r="F86">
        <v>70</v>
      </c>
      <c r="G86" t="s">
        <v>34</v>
      </c>
      <c r="K86" s="56">
        <v>0.2467</v>
      </c>
      <c r="L86">
        <v>54.2</v>
      </c>
      <c r="M86" s="99">
        <v>2</v>
      </c>
      <c r="N86">
        <f t="shared" si="9"/>
        <v>108.4</v>
      </c>
      <c r="O86">
        <f t="shared" si="10"/>
        <v>439.40008107012568</v>
      </c>
      <c r="P86" s="8">
        <f t="shared" si="11"/>
        <v>0.43940008107012568</v>
      </c>
      <c r="Q86" s="8">
        <v>39.799999999999997</v>
      </c>
      <c r="R86" s="109">
        <v>3.8</v>
      </c>
      <c r="S86" s="97" t="s">
        <v>237</v>
      </c>
    </row>
    <row r="87" spans="1:20" x14ac:dyDescent="0.2">
      <c r="A87" s="91">
        <v>105</v>
      </c>
      <c r="B87" s="91" t="s">
        <v>102</v>
      </c>
      <c r="C87" s="88">
        <v>2018088</v>
      </c>
      <c r="D87" s="92" t="s">
        <v>94</v>
      </c>
      <c r="E87" s="91" t="s">
        <v>27</v>
      </c>
      <c r="F87" s="88"/>
      <c r="G87" s="88" t="s">
        <v>34</v>
      </c>
      <c r="H87" s="88"/>
      <c r="I87" s="88"/>
      <c r="J87" s="88"/>
      <c r="K87" s="91">
        <v>0.18579999999999999</v>
      </c>
      <c r="L87" s="88">
        <v>22.3</v>
      </c>
      <c r="M87" s="93">
        <v>1</v>
      </c>
      <c r="N87" s="88">
        <f t="shared" si="9"/>
        <v>22.3</v>
      </c>
      <c r="O87" s="88">
        <f t="shared" si="10"/>
        <v>120.02152852529602</v>
      </c>
      <c r="P87" s="95">
        <f t="shared" si="11"/>
        <v>0.12002152852529602</v>
      </c>
      <c r="Q87" s="95"/>
      <c r="R87" s="109"/>
      <c r="S87" s="96"/>
      <c r="T87" s="88"/>
    </row>
    <row r="88" spans="1:20" ht="27" customHeight="1" x14ac:dyDescent="0.2">
      <c r="A88" s="56">
        <v>106</v>
      </c>
      <c r="B88" s="56" t="s">
        <v>102</v>
      </c>
      <c r="C88">
        <v>2018088</v>
      </c>
      <c r="D88" s="106" t="s">
        <v>95</v>
      </c>
      <c r="E88" s="56" t="s">
        <v>27</v>
      </c>
      <c r="F88">
        <v>70</v>
      </c>
      <c r="G88" t="s">
        <v>34</v>
      </c>
      <c r="K88" s="56">
        <v>0.20810000000000001</v>
      </c>
      <c r="L88">
        <v>123.6</v>
      </c>
      <c r="M88" s="99">
        <v>2</v>
      </c>
      <c r="N88">
        <f t="shared" si="9"/>
        <v>247.2</v>
      </c>
      <c r="O88">
        <f t="shared" si="10"/>
        <v>1187.8904372897643</v>
      </c>
      <c r="P88" s="8">
        <f t="shared" si="11"/>
        <v>1.1878904372897643</v>
      </c>
      <c r="Q88" s="8">
        <v>50.7</v>
      </c>
      <c r="R88" s="109">
        <v>8.5</v>
      </c>
      <c r="S88" s="97" t="s">
        <v>237</v>
      </c>
    </row>
    <row r="89" spans="1:20" x14ac:dyDescent="0.2">
      <c r="A89" s="56">
        <v>107</v>
      </c>
      <c r="B89" s="56" t="s">
        <v>102</v>
      </c>
      <c r="C89">
        <v>2018088</v>
      </c>
      <c r="D89" s="106" t="s">
        <v>96</v>
      </c>
      <c r="E89" s="56" t="s">
        <v>27</v>
      </c>
      <c r="F89">
        <v>70</v>
      </c>
      <c r="G89" t="s">
        <v>34</v>
      </c>
      <c r="K89" s="56">
        <v>0.2838</v>
      </c>
      <c r="L89">
        <v>289.60000000000002</v>
      </c>
      <c r="M89" s="99">
        <v>2</v>
      </c>
      <c r="N89">
        <f t="shared" si="9"/>
        <v>579.20000000000005</v>
      </c>
      <c r="O89">
        <f t="shared" si="10"/>
        <v>2040.8738548273434</v>
      </c>
      <c r="P89" s="8">
        <f t="shared" si="11"/>
        <v>2.0408738548273435</v>
      </c>
      <c r="Q89" s="8">
        <v>4.9000000000000004</v>
      </c>
      <c r="R89" s="109">
        <v>1.3</v>
      </c>
      <c r="S89" s="97" t="s">
        <v>237</v>
      </c>
    </row>
    <row r="90" spans="1:20" x14ac:dyDescent="0.2">
      <c r="A90" s="56">
        <v>110</v>
      </c>
      <c r="B90" s="56" t="s">
        <v>102</v>
      </c>
      <c r="C90">
        <v>2018158</v>
      </c>
      <c r="D90" s="106" t="s">
        <v>90</v>
      </c>
      <c r="E90" s="56" t="s">
        <v>27</v>
      </c>
      <c r="F90">
        <v>70</v>
      </c>
      <c r="G90" t="s">
        <v>109</v>
      </c>
      <c r="K90" s="56">
        <v>0.14910000000000001</v>
      </c>
      <c r="L90">
        <v>57.4</v>
      </c>
      <c r="M90" s="99">
        <v>2</v>
      </c>
      <c r="N90">
        <f t="shared" si="9"/>
        <v>114.8</v>
      </c>
      <c r="O90">
        <f t="shared" si="10"/>
        <v>769.95305164319245</v>
      </c>
      <c r="P90" s="8">
        <f t="shared" si="11"/>
        <v>0.7699530516431925</v>
      </c>
      <c r="Q90" s="8">
        <v>2.5</v>
      </c>
      <c r="R90" s="109">
        <v>0.2</v>
      </c>
      <c r="S90" s="97" t="s">
        <v>237</v>
      </c>
    </row>
    <row r="91" spans="1:20" s="88" customFormat="1" x14ac:dyDescent="0.2">
      <c r="A91" s="56">
        <v>111</v>
      </c>
      <c r="B91" s="56" t="s">
        <v>102</v>
      </c>
      <c r="C91">
        <v>2018158</v>
      </c>
      <c r="D91" s="106" t="s">
        <v>85</v>
      </c>
      <c r="E91" s="56" t="s">
        <v>27</v>
      </c>
      <c r="F91"/>
      <c r="G91" t="s">
        <v>109</v>
      </c>
      <c r="H91"/>
      <c r="I91"/>
      <c r="J91"/>
      <c r="K91" s="56">
        <v>0.1171</v>
      </c>
      <c r="L91">
        <v>94.33</v>
      </c>
      <c r="M91" s="99">
        <v>1</v>
      </c>
      <c r="N91">
        <f t="shared" si="9"/>
        <v>94.33</v>
      </c>
      <c r="O91">
        <f t="shared" si="10"/>
        <v>805.55081127241681</v>
      </c>
      <c r="P91" s="8">
        <f t="shared" si="11"/>
        <v>0.80555081127241679</v>
      </c>
      <c r="Q91" s="8">
        <v>8.5</v>
      </c>
      <c r="R91" s="109">
        <v>0.99</v>
      </c>
      <c r="S91" t="s">
        <v>236</v>
      </c>
      <c r="T91"/>
    </row>
    <row r="92" spans="1:20" x14ac:dyDescent="0.2">
      <c r="A92" s="56">
        <v>92</v>
      </c>
      <c r="B92" s="56" t="s">
        <v>100</v>
      </c>
      <c r="C92" s="56">
        <v>2019017</v>
      </c>
      <c r="D92" s="106" t="s">
        <v>90</v>
      </c>
      <c r="E92" t="s">
        <v>27</v>
      </c>
      <c r="G92" t="s">
        <v>104</v>
      </c>
      <c r="K92" s="56">
        <v>0.17749999999999999</v>
      </c>
      <c r="L92">
        <v>2845.3</v>
      </c>
      <c r="M92" s="99">
        <v>2</v>
      </c>
      <c r="N92">
        <f t="shared" si="9"/>
        <v>5690.6</v>
      </c>
      <c r="O92">
        <f t="shared" si="10"/>
        <v>32059.718309859159</v>
      </c>
      <c r="P92" s="8">
        <f t="shared" si="11"/>
        <v>32.059718309859157</v>
      </c>
      <c r="Q92" s="8">
        <v>5.6</v>
      </c>
      <c r="R92" s="109">
        <v>5</v>
      </c>
      <c r="S92" s="97" t="s">
        <v>242</v>
      </c>
    </row>
    <row r="93" spans="1:20" x14ac:dyDescent="0.2">
      <c r="A93" s="56">
        <v>93</v>
      </c>
      <c r="B93" s="56" t="s">
        <v>100</v>
      </c>
      <c r="C93" s="56">
        <v>2019017</v>
      </c>
      <c r="D93" s="106" t="s">
        <v>91</v>
      </c>
      <c r="E93" t="s">
        <v>27</v>
      </c>
      <c r="G93" t="s">
        <v>104</v>
      </c>
      <c r="K93" s="56">
        <v>0.16189999999999999</v>
      </c>
      <c r="L93">
        <v>1371.7</v>
      </c>
      <c r="M93" s="99">
        <v>2</v>
      </c>
      <c r="N93">
        <f t="shared" si="9"/>
        <v>2743.4</v>
      </c>
      <c r="O93">
        <f t="shared" si="10"/>
        <v>16945.027794935148</v>
      </c>
      <c r="P93" s="8">
        <f t="shared" si="11"/>
        <v>16.945027794935147</v>
      </c>
      <c r="Q93" s="8">
        <v>0.8</v>
      </c>
      <c r="R93" s="109">
        <v>0.4</v>
      </c>
      <c r="S93" s="97" t="s">
        <v>242</v>
      </c>
    </row>
    <row r="94" spans="1:20" s="88" customFormat="1" x14ac:dyDescent="0.2">
      <c r="A94" s="56">
        <v>94</v>
      </c>
      <c r="B94" s="56" t="s">
        <v>100</v>
      </c>
      <c r="C94" s="56">
        <v>2019017</v>
      </c>
      <c r="D94" s="106" t="s">
        <v>85</v>
      </c>
      <c r="E94" t="s">
        <v>27</v>
      </c>
      <c r="F94"/>
      <c r="G94" t="s">
        <v>104</v>
      </c>
      <c r="H94"/>
      <c r="I94"/>
      <c r="J94"/>
      <c r="K94" s="56">
        <v>0.2296</v>
      </c>
      <c r="L94">
        <v>1733.6</v>
      </c>
      <c r="M94" s="99">
        <v>2</v>
      </c>
      <c r="N94">
        <f t="shared" si="9"/>
        <v>3467.2</v>
      </c>
      <c r="O94">
        <f t="shared" si="10"/>
        <v>15101.045296167247</v>
      </c>
      <c r="P94" s="8">
        <f t="shared" si="11"/>
        <v>15.101045296167246</v>
      </c>
      <c r="Q94" s="8">
        <v>4</v>
      </c>
      <c r="R94" s="109">
        <v>2.6</v>
      </c>
      <c r="S94" s="97" t="s">
        <v>242</v>
      </c>
      <c r="T94"/>
    </row>
    <row r="95" spans="1:20" x14ac:dyDescent="0.2">
      <c r="A95" s="56">
        <v>119</v>
      </c>
      <c r="B95" s="56" t="s">
        <v>102</v>
      </c>
      <c r="C95">
        <v>2019018</v>
      </c>
      <c r="D95" s="106" t="s">
        <v>90</v>
      </c>
      <c r="E95" t="s">
        <v>40</v>
      </c>
      <c r="F95">
        <v>35</v>
      </c>
      <c r="G95" t="s">
        <v>34</v>
      </c>
      <c r="K95" s="56">
        <v>0.24590000000000001</v>
      </c>
      <c r="L95">
        <v>634.79999999999995</v>
      </c>
      <c r="M95" s="99">
        <v>4</v>
      </c>
      <c r="N95">
        <f t="shared" si="9"/>
        <v>2539.1999999999998</v>
      </c>
      <c r="O95">
        <f t="shared" si="10"/>
        <v>10326.148840992273</v>
      </c>
      <c r="P95" s="8">
        <f t="shared" si="11"/>
        <v>10.326148840992273</v>
      </c>
      <c r="Q95" s="8">
        <v>25.1</v>
      </c>
      <c r="R95" s="109">
        <v>10.3</v>
      </c>
      <c r="S95" s="97" t="s">
        <v>237</v>
      </c>
    </row>
    <row r="96" spans="1:20" x14ac:dyDescent="0.2">
      <c r="A96" s="56">
        <v>120</v>
      </c>
      <c r="B96" s="56" t="s">
        <v>102</v>
      </c>
      <c r="C96">
        <v>2019018</v>
      </c>
      <c r="D96" s="106" t="s">
        <v>91</v>
      </c>
      <c r="E96" t="s">
        <v>40</v>
      </c>
      <c r="G96" t="s">
        <v>34</v>
      </c>
      <c r="K96" s="56">
        <v>0.32440000000000002</v>
      </c>
      <c r="L96">
        <v>888.6</v>
      </c>
      <c r="M96" s="99">
        <v>4</v>
      </c>
      <c r="N96">
        <f t="shared" si="9"/>
        <v>3554.4</v>
      </c>
      <c r="O96">
        <f t="shared" si="10"/>
        <v>10956.843403205918</v>
      </c>
      <c r="P96" s="8">
        <f t="shared" si="11"/>
        <v>10.956843403205918</v>
      </c>
      <c r="Q96" s="8">
        <v>2.4</v>
      </c>
      <c r="R96" s="109">
        <v>1.2</v>
      </c>
      <c r="S96" s="97" t="s">
        <v>237</v>
      </c>
    </row>
    <row r="97" spans="1:20" x14ac:dyDescent="0.2">
      <c r="A97" s="56">
        <v>121</v>
      </c>
      <c r="B97" s="56" t="s">
        <v>102</v>
      </c>
      <c r="C97">
        <v>2019018</v>
      </c>
      <c r="D97" s="106" t="s">
        <v>85</v>
      </c>
      <c r="E97" t="s">
        <v>40</v>
      </c>
      <c r="G97" t="s">
        <v>34</v>
      </c>
      <c r="K97" s="56">
        <v>0.1434</v>
      </c>
      <c r="L97">
        <v>205</v>
      </c>
      <c r="M97" s="99">
        <v>4</v>
      </c>
      <c r="N97">
        <f t="shared" si="9"/>
        <v>820</v>
      </c>
      <c r="O97">
        <f t="shared" si="10"/>
        <v>5718.2705718270572</v>
      </c>
      <c r="P97" s="8">
        <f t="shared" si="11"/>
        <v>5.7182705718270572</v>
      </c>
      <c r="Q97" s="8">
        <v>7.11</v>
      </c>
      <c r="R97" s="109">
        <v>1.6</v>
      </c>
      <c r="S97" s="97" t="s">
        <v>237</v>
      </c>
    </row>
    <row r="98" spans="1:20" x14ac:dyDescent="0.2">
      <c r="A98" s="56">
        <v>112</v>
      </c>
      <c r="B98" s="56" t="s">
        <v>102</v>
      </c>
      <c r="C98">
        <v>2019031</v>
      </c>
      <c r="D98" s="106" t="s">
        <v>97</v>
      </c>
      <c r="E98" s="56" t="s">
        <v>27</v>
      </c>
      <c r="F98">
        <v>70</v>
      </c>
      <c r="G98" t="s">
        <v>34</v>
      </c>
      <c r="K98" s="56">
        <v>0.19550000000000001</v>
      </c>
      <c r="L98">
        <v>243.9</v>
      </c>
      <c r="M98" s="99">
        <v>2</v>
      </c>
      <c r="N98">
        <f t="shared" si="9"/>
        <v>487.8</v>
      </c>
      <c r="O98">
        <f t="shared" si="10"/>
        <v>2495.140664961637</v>
      </c>
      <c r="P98" s="8">
        <f t="shared" si="11"/>
        <v>2.495140664961637</v>
      </c>
      <c r="Q98" s="8">
        <v>5.2</v>
      </c>
      <c r="R98" s="109">
        <v>1.3</v>
      </c>
      <c r="S98" s="97" t="s">
        <v>237</v>
      </c>
    </row>
    <row r="99" spans="1:20" x14ac:dyDescent="0.2">
      <c r="A99" s="56">
        <v>113</v>
      </c>
      <c r="B99" s="56" t="s">
        <v>102</v>
      </c>
      <c r="C99">
        <v>2019031</v>
      </c>
      <c r="D99" s="106" t="s">
        <v>98</v>
      </c>
      <c r="E99" s="56" t="s">
        <v>27</v>
      </c>
      <c r="G99" t="s">
        <v>34</v>
      </c>
      <c r="K99" s="56">
        <v>0.25140000000000001</v>
      </c>
      <c r="L99">
        <v>271.83999999999997</v>
      </c>
      <c r="M99" s="99">
        <v>1</v>
      </c>
      <c r="N99">
        <f t="shared" si="9"/>
        <v>271.83999999999997</v>
      </c>
      <c r="O99">
        <f t="shared" si="10"/>
        <v>1081.3046937151948</v>
      </c>
      <c r="P99" s="8">
        <f t="shared" si="11"/>
        <v>1.0813046937151949</v>
      </c>
      <c r="Q99" s="8">
        <v>9.1999999999999993</v>
      </c>
      <c r="R99" s="109">
        <v>2</v>
      </c>
      <c r="S99" t="s">
        <v>236</v>
      </c>
    </row>
    <row r="100" spans="1:20" x14ac:dyDescent="0.2">
      <c r="A100" s="56">
        <v>114</v>
      </c>
      <c r="B100" s="56" t="s">
        <v>102</v>
      </c>
      <c r="C100">
        <v>2019031</v>
      </c>
      <c r="D100" s="106" t="s">
        <v>90</v>
      </c>
      <c r="E100" s="56" t="s">
        <v>27</v>
      </c>
      <c r="F100">
        <v>70</v>
      </c>
      <c r="G100" t="s">
        <v>34</v>
      </c>
      <c r="K100" s="56">
        <v>0.1714</v>
      </c>
      <c r="L100">
        <v>416</v>
      </c>
      <c r="M100" s="99">
        <v>2</v>
      </c>
      <c r="N100">
        <f t="shared" si="9"/>
        <v>832</v>
      </c>
      <c r="O100">
        <f t="shared" si="10"/>
        <v>4854.1423570595098</v>
      </c>
      <c r="P100" s="8">
        <f t="shared" si="11"/>
        <v>4.8541423570595095</v>
      </c>
      <c r="Q100" s="8">
        <v>7.4</v>
      </c>
      <c r="R100" s="109">
        <v>2.4</v>
      </c>
      <c r="S100" s="97" t="s">
        <v>237</v>
      </c>
    </row>
    <row r="101" spans="1:20" x14ac:dyDescent="0.2">
      <c r="A101" s="56">
        <v>115</v>
      </c>
      <c r="B101" s="56" t="s">
        <v>102</v>
      </c>
      <c r="C101">
        <v>2019031</v>
      </c>
      <c r="D101" s="106" t="s">
        <v>85</v>
      </c>
      <c r="E101" s="56" t="s">
        <v>27</v>
      </c>
      <c r="G101" t="s">
        <v>34</v>
      </c>
      <c r="K101" s="56">
        <v>0.14610000000000001</v>
      </c>
      <c r="L101">
        <v>244.6</v>
      </c>
      <c r="M101" s="99">
        <v>2</v>
      </c>
      <c r="N101">
        <f t="shared" si="9"/>
        <v>489.2</v>
      </c>
      <c r="O101">
        <f t="shared" si="10"/>
        <v>3348.3915126625598</v>
      </c>
      <c r="P101" s="8">
        <f t="shared" si="11"/>
        <v>3.3483915126625599</v>
      </c>
      <c r="Q101" s="8">
        <v>8.3000000000000007</v>
      </c>
      <c r="R101" s="109">
        <v>2</v>
      </c>
      <c r="S101" s="97" t="s">
        <v>237</v>
      </c>
    </row>
    <row r="102" spans="1:20" x14ac:dyDescent="0.2">
      <c r="A102" s="56">
        <v>76</v>
      </c>
      <c r="B102" s="56" t="s">
        <v>100</v>
      </c>
      <c r="C102" s="56">
        <v>2019047</v>
      </c>
      <c r="D102" s="106" t="s">
        <v>90</v>
      </c>
      <c r="E102" t="s">
        <v>40</v>
      </c>
      <c r="F102">
        <v>35</v>
      </c>
      <c r="G102" t="s">
        <v>104</v>
      </c>
      <c r="K102" s="56">
        <v>0.21490000000000001</v>
      </c>
      <c r="L102">
        <v>51.6</v>
      </c>
      <c r="M102" s="99">
        <v>4</v>
      </c>
      <c r="N102">
        <f t="shared" si="9"/>
        <v>206.4</v>
      </c>
      <c r="O102">
        <f t="shared" si="10"/>
        <v>960.44671940437411</v>
      </c>
      <c r="P102" s="8">
        <f t="shared" si="11"/>
        <v>0.96044671940437409</v>
      </c>
      <c r="Q102" s="8">
        <v>17.2</v>
      </c>
      <c r="R102" s="109">
        <v>1.6</v>
      </c>
      <c r="S102" s="97" t="s">
        <v>237</v>
      </c>
    </row>
    <row r="103" spans="1:20" x14ac:dyDescent="0.2">
      <c r="A103" s="56">
        <v>77</v>
      </c>
      <c r="B103" s="56" t="s">
        <v>100</v>
      </c>
      <c r="C103" s="56">
        <v>2019047</v>
      </c>
      <c r="D103" s="106" t="s">
        <v>91</v>
      </c>
      <c r="E103" t="s">
        <v>40</v>
      </c>
      <c r="F103">
        <v>35</v>
      </c>
      <c r="G103" t="s">
        <v>104</v>
      </c>
      <c r="K103" s="56">
        <v>0.19439999999999999</v>
      </c>
      <c r="L103">
        <v>53.6</v>
      </c>
      <c r="M103" s="99">
        <v>4</v>
      </c>
      <c r="N103">
        <f t="shared" si="9"/>
        <v>214.4</v>
      </c>
      <c r="O103">
        <f t="shared" si="10"/>
        <v>1102.8806584362142</v>
      </c>
      <c r="P103" s="8">
        <f t="shared" si="11"/>
        <v>1.1028806584362141</v>
      </c>
      <c r="Q103" s="8">
        <v>9.1999999999999993</v>
      </c>
      <c r="R103" s="109">
        <v>0.9</v>
      </c>
      <c r="S103" s="97" t="s">
        <v>237</v>
      </c>
    </row>
    <row r="104" spans="1:20" x14ac:dyDescent="0.2">
      <c r="A104" s="56">
        <v>78</v>
      </c>
      <c r="B104" s="56" t="s">
        <v>100</v>
      </c>
      <c r="C104" s="56">
        <v>2019047</v>
      </c>
      <c r="D104" s="106" t="s">
        <v>85</v>
      </c>
      <c r="E104" t="s">
        <v>40</v>
      </c>
      <c r="F104">
        <v>35</v>
      </c>
      <c r="G104" t="s">
        <v>104</v>
      </c>
      <c r="K104" s="56">
        <v>0.23519999999999999</v>
      </c>
      <c r="L104">
        <v>58.4</v>
      </c>
      <c r="M104" s="99">
        <v>4</v>
      </c>
      <c r="N104">
        <f t="shared" si="9"/>
        <v>233.6</v>
      </c>
      <c r="O104">
        <f t="shared" si="10"/>
        <v>993.19727891156458</v>
      </c>
      <c r="P104" s="8">
        <f t="shared" si="11"/>
        <v>0.99319727891156462</v>
      </c>
      <c r="Q104" s="8">
        <v>67.900000000000006</v>
      </c>
      <c r="R104" s="109">
        <v>7.2</v>
      </c>
      <c r="S104" s="97" t="s">
        <v>237</v>
      </c>
    </row>
    <row r="105" spans="1:20" x14ac:dyDescent="0.2">
      <c r="A105" s="56">
        <v>116</v>
      </c>
      <c r="B105" s="56" t="s">
        <v>102</v>
      </c>
      <c r="C105">
        <v>2019100</v>
      </c>
      <c r="D105" s="106" t="s">
        <v>90</v>
      </c>
      <c r="E105" s="56" t="s">
        <v>40</v>
      </c>
      <c r="F105">
        <v>35</v>
      </c>
      <c r="G105" t="s">
        <v>38</v>
      </c>
      <c r="K105" s="56">
        <v>0.2029</v>
      </c>
      <c r="L105">
        <v>492.5</v>
      </c>
      <c r="M105" s="99">
        <v>4</v>
      </c>
      <c r="N105">
        <f t="shared" si="9"/>
        <v>1970</v>
      </c>
      <c r="O105">
        <f t="shared" si="10"/>
        <v>9709.216362740266</v>
      </c>
      <c r="P105" s="8">
        <f t="shared" si="11"/>
        <v>9.7092163627402659</v>
      </c>
      <c r="Q105" s="8">
        <v>9.9</v>
      </c>
      <c r="R105" s="109">
        <v>3.5</v>
      </c>
      <c r="S105" s="97" t="s">
        <v>237</v>
      </c>
    </row>
    <row r="106" spans="1:20" x14ac:dyDescent="0.2">
      <c r="A106" s="56">
        <v>117</v>
      </c>
      <c r="B106" s="56" t="s">
        <v>102</v>
      </c>
      <c r="C106">
        <v>2019100</v>
      </c>
      <c r="D106" s="106" t="s">
        <v>91</v>
      </c>
      <c r="E106" s="56" t="s">
        <v>40</v>
      </c>
      <c r="G106" t="s">
        <v>38</v>
      </c>
      <c r="K106" s="56">
        <v>0.17419999999999999</v>
      </c>
      <c r="L106">
        <v>125</v>
      </c>
      <c r="M106" s="99">
        <v>4</v>
      </c>
      <c r="N106">
        <f t="shared" si="9"/>
        <v>500</v>
      </c>
      <c r="O106">
        <f t="shared" si="10"/>
        <v>2870.264064293915</v>
      </c>
      <c r="P106" s="8">
        <f t="shared" si="11"/>
        <v>2.8702640642939148</v>
      </c>
      <c r="Q106" s="8">
        <v>15.3</v>
      </c>
      <c r="R106" s="109">
        <v>2.5</v>
      </c>
      <c r="S106" s="97" t="s">
        <v>237</v>
      </c>
    </row>
    <row r="107" spans="1:20" x14ac:dyDescent="0.2">
      <c r="A107" s="56">
        <v>118</v>
      </c>
      <c r="B107" s="56" t="s">
        <v>102</v>
      </c>
      <c r="C107">
        <v>2019100</v>
      </c>
      <c r="D107" s="106" t="s">
        <v>85</v>
      </c>
      <c r="E107" s="56" t="s">
        <v>40</v>
      </c>
      <c r="G107" t="s">
        <v>38</v>
      </c>
      <c r="K107" s="56">
        <v>0.30380000000000001</v>
      </c>
      <c r="L107">
        <v>825.5</v>
      </c>
      <c r="M107" s="99">
        <v>4</v>
      </c>
      <c r="N107">
        <f t="shared" si="9"/>
        <v>3302</v>
      </c>
      <c r="O107">
        <f t="shared" si="10"/>
        <v>10868.992758393679</v>
      </c>
      <c r="P107" s="8">
        <f t="shared" si="11"/>
        <v>10.868992758393679</v>
      </c>
      <c r="Q107" s="8">
        <v>25.4</v>
      </c>
      <c r="R107" s="109">
        <v>11.8</v>
      </c>
      <c r="S107" s="97" t="s">
        <v>237</v>
      </c>
    </row>
    <row r="108" spans="1:20" ht="15" customHeight="1" x14ac:dyDescent="0.2">
      <c r="A108" s="56">
        <v>108</v>
      </c>
      <c r="B108" s="56" t="s">
        <v>102</v>
      </c>
      <c r="C108">
        <v>2019198</v>
      </c>
      <c r="D108" s="106" t="s">
        <v>90</v>
      </c>
      <c r="E108" s="56" t="s">
        <v>40</v>
      </c>
      <c r="F108">
        <v>35</v>
      </c>
      <c r="G108" t="s">
        <v>38</v>
      </c>
      <c r="K108" s="56">
        <v>0.20799999999999999</v>
      </c>
      <c r="L108">
        <v>83.3</v>
      </c>
      <c r="M108" s="99">
        <v>4</v>
      </c>
      <c r="N108">
        <f t="shared" ref="N108:N139" si="12">L108*M108</f>
        <v>333.2</v>
      </c>
      <c r="O108">
        <f t="shared" ref="O108:O139" si="13">N108/K108</f>
        <v>1601.9230769230769</v>
      </c>
      <c r="P108" s="8">
        <f t="shared" ref="P108:P139" si="14">O108/1000</f>
        <v>1.601923076923077</v>
      </c>
      <c r="Q108" s="8">
        <v>6.8</v>
      </c>
      <c r="R108" s="109">
        <v>0.9</v>
      </c>
      <c r="S108" s="97" t="s">
        <v>237</v>
      </c>
    </row>
    <row r="109" spans="1:20" ht="20" customHeight="1" x14ac:dyDescent="0.2">
      <c r="A109" s="56">
        <v>109</v>
      </c>
      <c r="B109" s="56" t="s">
        <v>102</v>
      </c>
      <c r="C109">
        <v>2019198</v>
      </c>
      <c r="D109" s="106" t="s">
        <v>85</v>
      </c>
      <c r="E109" s="56" t="s">
        <v>40</v>
      </c>
      <c r="F109">
        <v>35</v>
      </c>
      <c r="G109" t="s">
        <v>38</v>
      </c>
      <c r="K109" s="56">
        <v>0.23980000000000001</v>
      </c>
      <c r="L109">
        <v>61.5</v>
      </c>
      <c r="M109" s="99">
        <v>4</v>
      </c>
      <c r="N109">
        <f t="shared" si="12"/>
        <v>246</v>
      </c>
      <c r="O109">
        <f t="shared" si="13"/>
        <v>1025.8548790658881</v>
      </c>
      <c r="P109" s="8">
        <f t="shared" si="14"/>
        <v>1.0258548790658881</v>
      </c>
      <c r="Q109" s="8">
        <v>4.5</v>
      </c>
      <c r="R109" s="109">
        <v>0.5</v>
      </c>
      <c r="S109" s="97" t="s">
        <v>237</v>
      </c>
    </row>
    <row r="110" spans="1:20" x14ac:dyDescent="0.2">
      <c r="A110" s="56">
        <v>101</v>
      </c>
      <c r="B110" s="56" t="s">
        <v>99</v>
      </c>
      <c r="C110" t="s">
        <v>101</v>
      </c>
      <c r="D110" s="106" t="s">
        <v>90</v>
      </c>
      <c r="E110" s="56" t="s">
        <v>27</v>
      </c>
      <c r="F110">
        <v>70</v>
      </c>
      <c r="G110" t="s">
        <v>34</v>
      </c>
      <c r="K110" s="56">
        <v>0.16889999999999999</v>
      </c>
      <c r="L110">
        <v>868.1</v>
      </c>
      <c r="M110" s="99">
        <v>2</v>
      </c>
      <c r="N110">
        <f t="shared" si="12"/>
        <v>1736.2</v>
      </c>
      <c r="O110">
        <f t="shared" si="13"/>
        <v>10279.455298993487</v>
      </c>
      <c r="P110" s="8">
        <f t="shared" si="14"/>
        <v>10.279455298993486</v>
      </c>
      <c r="Q110" s="8">
        <v>18.510000000000002</v>
      </c>
      <c r="R110" s="109">
        <v>8.8000000000000007</v>
      </c>
      <c r="S110" s="97" t="s">
        <v>237</v>
      </c>
    </row>
    <row r="111" spans="1:20" s="20" customFormat="1" x14ac:dyDescent="0.2">
      <c r="A111" s="91">
        <v>102</v>
      </c>
      <c r="B111" s="91" t="s">
        <v>99</v>
      </c>
      <c r="C111" s="88" t="s">
        <v>101</v>
      </c>
      <c r="D111" s="92" t="s">
        <v>91</v>
      </c>
      <c r="E111" s="91" t="s">
        <v>27</v>
      </c>
      <c r="F111" s="88"/>
      <c r="G111" s="88" t="s">
        <v>34</v>
      </c>
      <c r="H111" s="88"/>
      <c r="I111" s="88"/>
      <c r="J111" s="88"/>
      <c r="K111" s="91">
        <v>0.1062</v>
      </c>
      <c r="L111" s="88">
        <v>51.6</v>
      </c>
      <c r="M111" s="93">
        <v>1</v>
      </c>
      <c r="N111" s="88">
        <f t="shared" si="12"/>
        <v>51.6</v>
      </c>
      <c r="O111" s="88">
        <f t="shared" si="13"/>
        <v>485.87570621468927</v>
      </c>
      <c r="P111" s="95">
        <f t="shared" si="14"/>
        <v>0.48587570621468928</v>
      </c>
      <c r="Q111" s="95"/>
      <c r="R111" s="109"/>
      <c r="S111" s="96"/>
      <c r="T111" s="88"/>
    </row>
    <row r="112" spans="1:20" x14ac:dyDescent="0.2">
      <c r="A112" s="56">
        <v>103</v>
      </c>
      <c r="B112" s="56" t="s">
        <v>99</v>
      </c>
      <c r="C112" t="s">
        <v>101</v>
      </c>
      <c r="D112" s="106" t="s">
        <v>85</v>
      </c>
      <c r="E112" s="56" t="s">
        <v>27</v>
      </c>
      <c r="G112" t="s">
        <v>34</v>
      </c>
      <c r="K112" s="56">
        <v>0.13650000000000001</v>
      </c>
      <c r="M112" s="99"/>
      <c r="P112" s="8"/>
      <c r="Q112" s="8"/>
      <c r="R112" s="109"/>
      <c r="S112" s="97"/>
    </row>
  </sheetData>
  <autoFilter ref="A1:T112" xr:uid="{C2152E70-3BE3-6E48-BDCE-99132A7001B8}">
    <sortState xmlns:xlrd2="http://schemas.microsoft.com/office/spreadsheetml/2017/richdata2" ref="A2:T112">
      <sortCondition ref="C1:C112"/>
    </sortState>
  </autoFilter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E39D-6770-7341-94CD-75B3D0A012BA}">
  <sheetPr codeName="Sheet4"/>
  <dimension ref="A1:N41"/>
  <sheetViews>
    <sheetView topLeftCell="B6" workbookViewId="0">
      <selection activeCell="B6" sqref="B6"/>
    </sheetView>
  </sheetViews>
  <sheetFormatPr baseColWidth="10" defaultRowHeight="16" x14ac:dyDescent="0.2"/>
  <cols>
    <col min="12" max="12" width="17.1640625" customWidth="1"/>
    <col min="13" max="13" width="21" customWidth="1"/>
    <col min="14" max="14" width="21.5" customWidth="1"/>
  </cols>
  <sheetData>
    <row r="1" spans="1:14" x14ac:dyDescent="0.2">
      <c r="A1" s="3" t="s">
        <v>0</v>
      </c>
      <c r="B1" s="3" t="s">
        <v>1</v>
      </c>
      <c r="C1" s="4" t="s">
        <v>6</v>
      </c>
      <c r="D1" s="3" t="s">
        <v>3</v>
      </c>
      <c r="E1" s="3" t="s">
        <v>4</v>
      </c>
      <c r="F1" s="3" t="s">
        <v>29</v>
      </c>
      <c r="G1" s="3" t="s">
        <v>5</v>
      </c>
      <c r="H1" s="3" t="s">
        <v>23</v>
      </c>
      <c r="I1" s="3" t="s">
        <v>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</row>
    <row r="2" spans="1:14" x14ac:dyDescent="0.2">
      <c r="A2" s="12">
        <v>51</v>
      </c>
      <c r="B2" s="12">
        <v>1429</v>
      </c>
      <c r="C2" s="13"/>
      <c r="D2" s="12" t="s">
        <v>27</v>
      </c>
      <c r="E2" s="13"/>
      <c r="F2" s="13" t="s">
        <v>34</v>
      </c>
      <c r="G2" s="13" t="s">
        <v>31</v>
      </c>
      <c r="H2" s="13"/>
      <c r="I2" s="12">
        <v>0.15770000000000001</v>
      </c>
      <c r="J2" s="13">
        <v>533.96</v>
      </c>
      <c r="K2" s="13">
        <v>2</v>
      </c>
      <c r="L2" s="13">
        <f>J2*K2</f>
        <v>1067.92</v>
      </c>
      <c r="M2" s="13">
        <f>L2/I2</f>
        <v>6771.8452758402027</v>
      </c>
      <c r="N2" s="14">
        <f>M2/1000</f>
        <v>6.771845275840203</v>
      </c>
    </row>
    <row r="3" spans="1:14" x14ac:dyDescent="0.2">
      <c r="A3" s="12">
        <v>52</v>
      </c>
      <c r="B3" s="12">
        <v>1587</v>
      </c>
      <c r="C3" s="13"/>
      <c r="D3" s="12" t="s">
        <v>27</v>
      </c>
      <c r="E3" s="13"/>
      <c r="F3" s="13" t="s">
        <v>38</v>
      </c>
      <c r="G3" s="13" t="s">
        <v>37</v>
      </c>
      <c r="H3" s="13"/>
      <c r="I3" s="12">
        <v>0.22040000000000001</v>
      </c>
      <c r="J3" s="13">
        <v>508.42</v>
      </c>
      <c r="K3" s="13">
        <v>2</v>
      </c>
      <c r="L3" s="13">
        <f t="shared" ref="L3:L14" si="0">J3*K3</f>
        <v>1016.84</v>
      </c>
      <c r="M3" s="13">
        <f t="shared" ref="M3:M14" si="1">L3/I3</f>
        <v>4613.6116152450086</v>
      </c>
      <c r="N3" s="14">
        <f t="shared" ref="N3:N14" si="2">M3/1000</f>
        <v>4.6136116152450084</v>
      </c>
    </row>
    <row r="4" spans="1:14" x14ac:dyDescent="0.2">
      <c r="A4" s="12">
        <v>53</v>
      </c>
      <c r="B4" s="12">
        <v>1650</v>
      </c>
      <c r="C4" s="13"/>
      <c r="D4" s="12" t="s">
        <v>27</v>
      </c>
      <c r="E4" s="13"/>
      <c r="F4" s="13" t="s">
        <v>34</v>
      </c>
      <c r="G4" s="13" t="s">
        <v>31</v>
      </c>
      <c r="H4" s="13"/>
      <c r="I4" s="12">
        <v>0.22020000000000001</v>
      </c>
      <c r="J4" s="18">
        <v>147.19999999999999</v>
      </c>
      <c r="K4" s="13">
        <v>2</v>
      </c>
      <c r="L4" s="18">
        <f t="shared" si="0"/>
        <v>294.39999999999998</v>
      </c>
      <c r="M4" s="18">
        <f t="shared" si="1"/>
        <v>1336.9663941871024</v>
      </c>
      <c r="N4" s="15">
        <f t="shared" si="2"/>
        <v>1.3369663941871024</v>
      </c>
    </row>
    <row r="5" spans="1:14" x14ac:dyDescent="0.2">
      <c r="A5" s="12">
        <v>54</v>
      </c>
      <c r="B5" s="12">
        <v>1524</v>
      </c>
      <c r="C5" s="13"/>
      <c r="D5" s="12" t="s">
        <v>27</v>
      </c>
      <c r="E5" s="13"/>
      <c r="F5" s="13" t="s">
        <v>38</v>
      </c>
      <c r="G5" s="13" t="s">
        <v>37</v>
      </c>
      <c r="H5" s="13"/>
      <c r="I5" s="12">
        <v>0.1754</v>
      </c>
      <c r="J5" s="18">
        <v>397.3</v>
      </c>
      <c r="K5" s="13">
        <v>2</v>
      </c>
      <c r="L5" s="18">
        <f t="shared" si="0"/>
        <v>794.6</v>
      </c>
      <c r="M5" s="18">
        <f t="shared" si="1"/>
        <v>4530.2166476624861</v>
      </c>
      <c r="N5" s="15">
        <f t="shared" si="2"/>
        <v>4.5302166476624866</v>
      </c>
    </row>
    <row r="6" spans="1:14" x14ac:dyDescent="0.2">
      <c r="A6" s="12">
        <v>55</v>
      </c>
      <c r="B6" s="12">
        <v>1665</v>
      </c>
      <c r="C6" s="13"/>
      <c r="D6" s="12" t="s">
        <v>27</v>
      </c>
      <c r="E6" s="13"/>
      <c r="F6" s="13" t="s">
        <v>38</v>
      </c>
      <c r="G6" s="13" t="s">
        <v>37</v>
      </c>
      <c r="H6" s="13"/>
      <c r="I6" s="12">
        <v>0.13700000000000001</v>
      </c>
      <c r="J6" s="18">
        <v>1690.5</v>
      </c>
      <c r="K6" s="13">
        <v>2</v>
      </c>
      <c r="L6" s="18">
        <f t="shared" si="0"/>
        <v>3381</v>
      </c>
      <c r="M6" s="18">
        <f t="shared" si="1"/>
        <v>24678.832116788319</v>
      </c>
      <c r="N6" s="15">
        <f t="shared" si="2"/>
        <v>24.678832116788318</v>
      </c>
    </row>
    <row r="7" spans="1:14" x14ac:dyDescent="0.2">
      <c r="A7" s="12">
        <v>56</v>
      </c>
      <c r="B7" s="12">
        <v>1149</v>
      </c>
      <c r="C7" s="13"/>
      <c r="D7" s="12" t="s">
        <v>27</v>
      </c>
      <c r="E7" s="13"/>
      <c r="F7" s="13" t="s">
        <v>34</v>
      </c>
      <c r="G7" s="13" t="s">
        <v>35</v>
      </c>
      <c r="H7" s="13"/>
      <c r="I7" s="12">
        <v>0.19539999999999999</v>
      </c>
      <c r="J7" s="13">
        <v>162.9</v>
      </c>
      <c r="K7" s="13">
        <v>2</v>
      </c>
      <c r="L7" s="13">
        <f t="shared" si="0"/>
        <v>325.8</v>
      </c>
      <c r="M7" s="13">
        <f t="shared" si="1"/>
        <v>1667.3490276356194</v>
      </c>
      <c r="N7" s="14">
        <f t="shared" si="2"/>
        <v>1.6673490276356195</v>
      </c>
    </row>
    <row r="8" spans="1:14" x14ac:dyDescent="0.2">
      <c r="A8" s="12">
        <v>57</v>
      </c>
      <c r="B8" s="13" t="s">
        <v>16</v>
      </c>
      <c r="C8" s="13"/>
      <c r="D8" s="12" t="s">
        <v>40</v>
      </c>
      <c r="E8" s="13"/>
      <c r="F8" s="13" t="s">
        <v>30</v>
      </c>
      <c r="G8" s="13" t="s">
        <v>41</v>
      </c>
      <c r="H8" s="13"/>
      <c r="I8" s="12">
        <v>0.193</v>
      </c>
      <c r="J8" s="13">
        <v>335.1</v>
      </c>
      <c r="K8" s="13">
        <v>2</v>
      </c>
      <c r="L8" s="13">
        <f t="shared" si="0"/>
        <v>670.2</v>
      </c>
      <c r="M8" s="13">
        <f t="shared" si="1"/>
        <v>3472.538860103627</v>
      </c>
      <c r="N8" s="14">
        <f t="shared" si="2"/>
        <v>3.4725388601036271</v>
      </c>
    </row>
    <row r="9" spans="1:14" x14ac:dyDescent="0.2">
      <c r="A9" s="12">
        <v>58</v>
      </c>
      <c r="B9" s="12">
        <v>1035</v>
      </c>
      <c r="C9" s="13"/>
      <c r="D9" s="12" t="s">
        <v>40</v>
      </c>
      <c r="E9" s="13"/>
      <c r="F9" s="13" t="s">
        <v>34</v>
      </c>
      <c r="G9" s="13" t="s">
        <v>35</v>
      </c>
      <c r="H9" s="13" t="s">
        <v>47</v>
      </c>
      <c r="I9" s="12">
        <v>0.12720000000000001</v>
      </c>
      <c r="J9" s="13">
        <v>25.202999999999999</v>
      </c>
      <c r="K9" s="13">
        <v>2</v>
      </c>
      <c r="L9" s="13">
        <f t="shared" si="0"/>
        <v>50.405999999999999</v>
      </c>
      <c r="M9" s="13">
        <f t="shared" si="1"/>
        <v>396.27358490566036</v>
      </c>
      <c r="N9" s="14">
        <f t="shared" si="2"/>
        <v>0.39627358490566034</v>
      </c>
    </row>
    <row r="10" spans="1:14" x14ac:dyDescent="0.2">
      <c r="A10" s="12">
        <v>59</v>
      </c>
      <c r="B10" s="13" t="s">
        <v>18</v>
      </c>
      <c r="C10" s="13"/>
      <c r="D10" s="12" t="s">
        <v>40</v>
      </c>
      <c r="E10" s="13"/>
      <c r="F10" s="13" t="s">
        <v>43</v>
      </c>
      <c r="G10" s="13" t="s">
        <v>41</v>
      </c>
      <c r="H10" s="13"/>
      <c r="I10" s="12">
        <v>0.16059999999999999</v>
      </c>
      <c r="J10" s="13">
        <v>57.89</v>
      </c>
      <c r="K10" s="13">
        <v>2</v>
      </c>
      <c r="L10" s="13">
        <f t="shared" si="0"/>
        <v>115.78</v>
      </c>
      <c r="M10" s="13">
        <f t="shared" si="1"/>
        <v>720.92154420921543</v>
      </c>
      <c r="N10" s="14">
        <f t="shared" si="2"/>
        <v>0.72092154420921539</v>
      </c>
    </row>
    <row r="11" spans="1:14" x14ac:dyDescent="0.2">
      <c r="A11" s="12">
        <v>60</v>
      </c>
      <c r="B11" s="12">
        <v>1585</v>
      </c>
      <c r="C11" s="13"/>
      <c r="D11" s="12" t="s">
        <v>27</v>
      </c>
      <c r="E11" s="13"/>
      <c r="F11" s="13" t="s">
        <v>34</v>
      </c>
      <c r="G11" s="13" t="s">
        <v>31</v>
      </c>
      <c r="H11" s="13"/>
      <c r="I11" s="12">
        <v>0.1043</v>
      </c>
      <c r="J11" s="18">
        <v>190.9</v>
      </c>
      <c r="K11" s="13">
        <v>2</v>
      </c>
      <c r="L11" s="18">
        <f t="shared" si="0"/>
        <v>381.8</v>
      </c>
      <c r="M11" s="18">
        <f t="shared" si="1"/>
        <v>3660.5944391179291</v>
      </c>
      <c r="N11" s="15">
        <f t="shared" si="2"/>
        <v>3.6605944391179293</v>
      </c>
    </row>
    <row r="12" spans="1:14" x14ac:dyDescent="0.2">
      <c r="A12" s="12">
        <v>61</v>
      </c>
      <c r="B12" s="12">
        <v>1652</v>
      </c>
      <c r="C12" s="13"/>
      <c r="D12" s="12" t="s">
        <v>27</v>
      </c>
      <c r="E12" s="13"/>
      <c r="F12" s="13" t="s">
        <v>34</v>
      </c>
      <c r="G12" s="13" t="s">
        <v>31</v>
      </c>
      <c r="H12" s="13"/>
      <c r="I12" s="12">
        <v>0.14219999999999999</v>
      </c>
      <c r="J12" s="13">
        <v>422.4</v>
      </c>
      <c r="K12" s="13">
        <v>2</v>
      </c>
      <c r="L12" s="13">
        <f t="shared" si="0"/>
        <v>844.8</v>
      </c>
      <c r="M12" s="13">
        <f t="shared" si="1"/>
        <v>5940.9282700421936</v>
      </c>
      <c r="N12" s="14">
        <f t="shared" si="2"/>
        <v>5.9409282700421935</v>
      </c>
    </row>
    <row r="13" spans="1:14" x14ac:dyDescent="0.2">
      <c r="A13" s="12">
        <v>62</v>
      </c>
      <c r="B13" s="12">
        <v>1278</v>
      </c>
      <c r="C13" s="13"/>
      <c r="D13" s="12" t="s">
        <v>27</v>
      </c>
      <c r="E13" s="13"/>
      <c r="F13" s="13" t="s">
        <v>34</v>
      </c>
      <c r="G13" s="13" t="s">
        <v>37</v>
      </c>
      <c r="H13" s="13"/>
      <c r="I13" s="12">
        <v>0.14019999999999999</v>
      </c>
      <c r="J13" s="13">
        <v>106.1</v>
      </c>
      <c r="K13" s="13">
        <v>2</v>
      </c>
      <c r="L13" s="13">
        <f t="shared" si="0"/>
        <v>212.2</v>
      </c>
      <c r="M13" s="13">
        <f t="shared" si="1"/>
        <v>1513.5520684736091</v>
      </c>
      <c r="N13" s="14">
        <f t="shared" si="2"/>
        <v>1.513552068473609</v>
      </c>
    </row>
    <row r="14" spans="1:14" x14ac:dyDescent="0.2">
      <c r="A14" s="12">
        <v>64</v>
      </c>
      <c r="B14" s="12">
        <v>1593</v>
      </c>
      <c r="C14" s="13"/>
      <c r="D14" s="12" t="s">
        <v>27</v>
      </c>
      <c r="E14" s="13"/>
      <c r="F14" s="13" t="s">
        <v>30</v>
      </c>
      <c r="G14" s="13" t="s">
        <v>37</v>
      </c>
      <c r="H14" s="13"/>
      <c r="I14" s="12">
        <v>0.26469999999999999</v>
      </c>
      <c r="J14" s="13">
        <v>491.84</v>
      </c>
      <c r="K14" s="13">
        <v>2</v>
      </c>
      <c r="L14" s="13">
        <f t="shared" si="0"/>
        <v>983.68</v>
      </c>
      <c r="M14" s="13">
        <f t="shared" si="1"/>
        <v>3716.2070268228181</v>
      </c>
      <c r="N14" s="14">
        <f t="shared" si="2"/>
        <v>3.716207026822818</v>
      </c>
    </row>
    <row r="17" spans="1:10" x14ac:dyDescent="0.2">
      <c r="A17" s="3" t="s">
        <v>0</v>
      </c>
      <c r="B17" s="3" t="s">
        <v>1</v>
      </c>
      <c r="C17" s="4" t="s">
        <v>6</v>
      </c>
      <c r="D17" s="3" t="s">
        <v>3</v>
      </c>
      <c r="E17" s="3" t="s">
        <v>4</v>
      </c>
      <c r="F17" s="3" t="s">
        <v>29</v>
      </c>
      <c r="G17" s="3" t="s">
        <v>5</v>
      </c>
      <c r="H17" s="3" t="s">
        <v>2</v>
      </c>
      <c r="I17" s="3" t="s">
        <v>79</v>
      </c>
      <c r="J17" s="17" t="s">
        <v>80</v>
      </c>
    </row>
    <row r="18" spans="1:10" x14ac:dyDescent="0.2">
      <c r="A18" s="9">
        <v>51</v>
      </c>
      <c r="B18" s="9">
        <v>1429</v>
      </c>
      <c r="D18" s="9" t="s">
        <v>27</v>
      </c>
      <c r="E18" t="s">
        <v>28</v>
      </c>
      <c r="F18" t="s">
        <v>34</v>
      </c>
      <c r="G18" t="s">
        <v>31</v>
      </c>
      <c r="H18" s="9">
        <v>0.15770000000000001</v>
      </c>
      <c r="I18" s="11">
        <v>1.4331008243500316</v>
      </c>
      <c r="J18" s="19">
        <v>6.77</v>
      </c>
    </row>
    <row r="19" spans="1:10" x14ac:dyDescent="0.2">
      <c r="A19" s="9">
        <v>52</v>
      </c>
      <c r="B19" s="9">
        <v>1587</v>
      </c>
      <c r="D19" s="9" t="s">
        <v>27</v>
      </c>
      <c r="E19" t="s">
        <v>28</v>
      </c>
      <c r="F19" t="s">
        <v>38</v>
      </c>
      <c r="G19" t="s">
        <v>37</v>
      </c>
      <c r="H19" s="9">
        <v>0.22040000000000001</v>
      </c>
      <c r="I19" s="11">
        <v>2.3811252268602541</v>
      </c>
      <c r="J19" s="19">
        <v>4.6100000000000003</v>
      </c>
    </row>
    <row r="20" spans="1:10" x14ac:dyDescent="0.2">
      <c r="A20" s="20">
        <v>53</v>
      </c>
      <c r="B20" s="20">
        <v>1650</v>
      </c>
      <c r="C20" s="20"/>
      <c r="D20" s="20" t="s">
        <v>27</v>
      </c>
      <c r="E20" s="20" t="s">
        <v>36</v>
      </c>
      <c r="F20" s="20" t="s">
        <v>34</v>
      </c>
      <c r="G20" s="20" t="s">
        <v>31</v>
      </c>
      <c r="H20" s="20">
        <v>0.22020000000000001</v>
      </c>
      <c r="I20" s="21">
        <v>1.6348773841961852</v>
      </c>
      <c r="J20" s="21">
        <v>1.34</v>
      </c>
    </row>
    <row r="21" spans="1:10" x14ac:dyDescent="0.2">
      <c r="A21" s="20">
        <v>55</v>
      </c>
      <c r="B21" s="20">
        <v>1665</v>
      </c>
      <c r="C21" s="20"/>
      <c r="D21" s="20" t="s">
        <v>27</v>
      </c>
      <c r="E21" s="20" t="s">
        <v>36</v>
      </c>
      <c r="F21" s="20" t="s">
        <v>38</v>
      </c>
      <c r="G21" s="20" t="s">
        <v>37</v>
      </c>
      <c r="H21" s="20">
        <v>0.13700000000000001</v>
      </c>
      <c r="I21" s="21">
        <v>21.521167883211678</v>
      </c>
      <c r="J21" s="21">
        <v>24.68</v>
      </c>
    </row>
    <row r="22" spans="1:10" x14ac:dyDescent="0.2">
      <c r="A22" s="9">
        <v>56</v>
      </c>
      <c r="B22" s="9">
        <v>1149</v>
      </c>
      <c r="D22" s="9" t="s">
        <v>27</v>
      </c>
      <c r="E22" t="s">
        <v>33</v>
      </c>
      <c r="F22" t="s">
        <v>34</v>
      </c>
      <c r="G22" t="s">
        <v>35</v>
      </c>
      <c r="H22" s="9">
        <v>0.19539999999999999</v>
      </c>
      <c r="I22" s="11">
        <v>0.99488229273285567</v>
      </c>
      <c r="J22" s="19">
        <v>1.67</v>
      </c>
    </row>
    <row r="23" spans="1:10" x14ac:dyDescent="0.2">
      <c r="A23" s="9">
        <v>57</v>
      </c>
      <c r="B23" t="s">
        <v>16</v>
      </c>
      <c r="D23" s="9" t="s">
        <v>40</v>
      </c>
      <c r="E23" t="s">
        <v>28</v>
      </c>
      <c r="F23" t="s">
        <v>30</v>
      </c>
      <c r="G23" t="s">
        <v>41</v>
      </c>
      <c r="H23" s="9">
        <v>0.193</v>
      </c>
      <c r="I23" s="11">
        <v>0.58549222797927458</v>
      </c>
      <c r="J23" s="19">
        <v>3.47</v>
      </c>
    </row>
    <row r="24" spans="1:10" x14ac:dyDescent="0.2">
      <c r="A24" s="9">
        <v>58</v>
      </c>
      <c r="B24" s="9">
        <v>1035</v>
      </c>
      <c r="D24" s="9" t="s">
        <v>40</v>
      </c>
      <c r="E24" t="s">
        <v>33</v>
      </c>
      <c r="F24" t="s">
        <v>34</v>
      </c>
      <c r="G24" t="s">
        <v>35</v>
      </c>
      <c r="H24" s="9">
        <v>0.12720000000000001</v>
      </c>
      <c r="I24" s="11">
        <v>0.88836477987421381</v>
      </c>
      <c r="J24" s="19">
        <v>0.4</v>
      </c>
    </row>
    <row r="25" spans="1:10" x14ac:dyDescent="0.2">
      <c r="A25" s="9">
        <v>59</v>
      </c>
      <c r="B25" t="s">
        <v>18</v>
      </c>
      <c r="D25" s="9" t="s">
        <v>40</v>
      </c>
      <c r="E25" t="s">
        <v>36</v>
      </c>
      <c r="F25" t="s">
        <v>43</v>
      </c>
      <c r="G25" t="s">
        <v>41</v>
      </c>
      <c r="H25" s="9">
        <v>0.16059999999999999</v>
      </c>
      <c r="I25" s="11">
        <v>2.6239103362391032</v>
      </c>
      <c r="J25" s="19">
        <v>0.72</v>
      </c>
    </row>
    <row r="26" spans="1:10" x14ac:dyDescent="0.2">
      <c r="A26" s="20">
        <v>60</v>
      </c>
      <c r="B26" s="20">
        <v>1585</v>
      </c>
      <c r="C26" s="20"/>
      <c r="D26" s="20" t="s">
        <v>27</v>
      </c>
      <c r="E26" s="20" t="s">
        <v>33</v>
      </c>
      <c r="F26" s="20" t="s">
        <v>34</v>
      </c>
      <c r="G26" s="20" t="s">
        <v>31</v>
      </c>
      <c r="H26" s="20">
        <v>0.1043</v>
      </c>
      <c r="I26" s="21">
        <v>4.2032598274209017</v>
      </c>
      <c r="J26" s="21">
        <v>3.66</v>
      </c>
    </row>
    <row r="27" spans="1:10" x14ac:dyDescent="0.2">
      <c r="A27" s="9">
        <v>61</v>
      </c>
      <c r="B27" s="9">
        <v>1652</v>
      </c>
      <c r="D27" s="9" t="s">
        <v>27</v>
      </c>
      <c r="E27" t="s">
        <v>36</v>
      </c>
      <c r="F27" t="s">
        <v>34</v>
      </c>
      <c r="G27" t="s">
        <v>31</v>
      </c>
      <c r="H27" s="9">
        <v>0.14219999999999999</v>
      </c>
      <c r="I27" s="11">
        <v>6.5738396624472575</v>
      </c>
      <c r="J27" s="19">
        <v>5.94</v>
      </c>
    </row>
    <row r="28" spans="1:10" x14ac:dyDescent="0.2">
      <c r="A28" s="20">
        <v>62</v>
      </c>
      <c r="B28" s="20">
        <v>1278</v>
      </c>
      <c r="C28" s="20"/>
      <c r="D28" s="20" t="s">
        <v>27</v>
      </c>
      <c r="E28" s="20" t="s">
        <v>33</v>
      </c>
      <c r="F28" s="20" t="s">
        <v>34</v>
      </c>
      <c r="G28" s="20" t="s">
        <v>37</v>
      </c>
      <c r="H28" s="20">
        <v>0.14019999999999999</v>
      </c>
      <c r="I28" s="21">
        <v>0.88730385164051373</v>
      </c>
      <c r="J28" s="21">
        <v>1.51</v>
      </c>
    </row>
    <row r="29" spans="1:10" x14ac:dyDescent="0.2">
      <c r="A29" s="9">
        <v>64</v>
      </c>
      <c r="B29" s="9">
        <v>1593</v>
      </c>
      <c r="D29" s="9" t="s">
        <v>27</v>
      </c>
      <c r="E29" t="s">
        <v>28</v>
      </c>
      <c r="F29" t="s">
        <v>30</v>
      </c>
      <c r="G29" t="s">
        <v>37</v>
      </c>
      <c r="H29" s="9">
        <v>0.26469999999999999</v>
      </c>
      <c r="I29" s="11">
        <v>1.4023422742727616</v>
      </c>
      <c r="J29" s="19">
        <v>3.72</v>
      </c>
    </row>
    <row r="30" spans="1:10" x14ac:dyDescent="0.2">
      <c r="A30" s="9">
        <v>51</v>
      </c>
      <c r="B30" s="9">
        <v>1429</v>
      </c>
      <c r="D30" s="9" t="s">
        <v>27</v>
      </c>
      <c r="E30" t="s">
        <v>28</v>
      </c>
      <c r="F30" t="s">
        <v>34</v>
      </c>
      <c r="G30" t="s">
        <v>31</v>
      </c>
      <c r="H30" s="9">
        <v>0.15770000000000001</v>
      </c>
      <c r="I30" s="19">
        <v>6.77</v>
      </c>
      <c r="J30" t="s">
        <v>78</v>
      </c>
    </row>
    <row r="31" spans="1:10" x14ac:dyDescent="0.2">
      <c r="A31" s="9">
        <v>52</v>
      </c>
      <c r="B31" s="9">
        <v>1587</v>
      </c>
      <c r="D31" s="9" t="s">
        <v>27</v>
      </c>
      <c r="E31" t="s">
        <v>28</v>
      </c>
      <c r="F31" t="s">
        <v>38</v>
      </c>
      <c r="G31" t="s">
        <v>37</v>
      </c>
      <c r="H31" s="9">
        <v>0.22040000000000001</v>
      </c>
      <c r="I31" s="19">
        <v>4.6100000000000003</v>
      </c>
      <c r="J31" t="s">
        <v>78</v>
      </c>
    </row>
    <row r="32" spans="1:10" x14ac:dyDescent="0.2">
      <c r="A32" s="20">
        <v>53</v>
      </c>
      <c r="B32" s="20">
        <v>1650</v>
      </c>
      <c r="C32" s="20"/>
      <c r="D32" s="20" t="s">
        <v>27</v>
      </c>
      <c r="E32" s="20" t="s">
        <v>36</v>
      </c>
      <c r="F32" s="20" t="s">
        <v>34</v>
      </c>
      <c r="G32" s="20" t="s">
        <v>31</v>
      </c>
      <c r="H32" s="20">
        <v>0.22020000000000001</v>
      </c>
      <c r="I32" s="21">
        <v>1.34</v>
      </c>
      <c r="J32" t="s">
        <v>78</v>
      </c>
    </row>
    <row r="33" spans="1:10" x14ac:dyDescent="0.2">
      <c r="A33" s="20">
        <v>55</v>
      </c>
      <c r="B33" s="20">
        <v>1665</v>
      </c>
      <c r="C33" s="20"/>
      <c r="D33" s="20" t="s">
        <v>27</v>
      </c>
      <c r="E33" s="20" t="s">
        <v>36</v>
      </c>
      <c r="F33" s="20" t="s">
        <v>38</v>
      </c>
      <c r="G33" s="20" t="s">
        <v>37</v>
      </c>
      <c r="H33" s="20">
        <v>0.13700000000000001</v>
      </c>
      <c r="I33" s="21">
        <v>24.68</v>
      </c>
      <c r="J33" t="s">
        <v>78</v>
      </c>
    </row>
    <row r="34" spans="1:10" x14ac:dyDescent="0.2">
      <c r="A34" s="9">
        <v>56</v>
      </c>
      <c r="B34" s="9">
        <v>1149</v>
      </c>
      <c r="D34" s="9" t="s">
        <v>27</v>
      </c>
      <c r="E34" t="s">
        <v>33</v>
      </c>
      <c r="F34" t="s">
        <v>34</v>
      </c>
      <c r="G34" t="s">
        <v>35</v>
      </c>
      <c r="H34" s="9">
        <v>0.19539999999999999</v>
      </c>
      <c r="I34" s="19">
        <v>1.67</v>
      </c>
      <c r="J34" t="s">
        <v>78</v>
      </c>
    </row>
    <row r="35" spans="1:10" x14ac:dyDescent="0.2">
      <c r="A35" s="9">
        <v>57</v>
      </c>
      <c r="B35" t="s">
        <v>16</v>
      </c>
      <c r="D35" s="9" t="s">
        <v>40</v>
      </c>
      <c r="E35" t="s">
        <v>28</v>
      </c>
      <c r="F35" t="s">
        <v>30</v>
      </c>
      <c r="G35" t="s">
        <v>41</v>
      </c>
      <c r="H35" s="9">
        <v>0.193</v>
      </c>
      <c r="I35" s="19">
        <v>3.47</v>
      </c>
      <c r="J35" t="s">
        <v>78</v>
      </c>
    </row>
    <row r="36" spans="1:10" x14ac:dyDescent="0.2">
      <c r="A36" s="9">
        <v>58</v>
      </c>
      <c r="B36" s="9">
        <v>1035</v>
      </c>
      <c r="D36" s="9" t="s">
        <v>40</v>
      </c>
      <c r="E36" t="s">
        <v>33</v>
      </c>
      <c r="F36" t="s">
        <v>34</v>
      </c>
      <c r="G36" t="s">
        <v>35</v>
      </c>
      <c r="H36" s="9">
        <v>0.12720000000000001</v>
      </c>
      <c r="I36" s="19">
        <v>0.4</v>
      </c>
      <c r="J36" t="s">
        <v>78</v>
      </c>
    </row>
    <row r="37" spans="1:10" x14ac:dyDescent="0.2">
      <c r="A37" s="9">
        <v>59</v>
      </c>
      <c r="B37" t="s">
        <v>18</v>
      </c>
      <c r="D37" s="9" t="s">
        <v>40</v>
      </c>
      <c r="E37" t="s">
        <v>36</v>
      </c>
      <c r="F37" t="s">
        <v>43</v>
      </c>
      <c r="G37" t="s">
        <v>41</v>
      </c>
      <c r="H37" s="9">
        <v>0.16059999999999999</v>
      </c>
      <c r="I37" s="19">
        <v>0.72</v>
      </c>
      <c r="J37" t="s">
        <v>78</v>
      </c>
    </row>
    <row r="38" spans="1:10" x14ac:dyDescent="0.2">
      <c r="A38" s="20">
        <v>60</v>
      </c>
      <c r="B38" s="20">
        <v>1585</v>
      </c>
      <c r="C38" s="20"/>
      <c r="D38" s="20" t="s">
        <v>27</v>
      </c>
      <c r="E38" s="20" t="s">
        <v>33</v>
      </c>
      <c r="F38" s="20" t="s">
        <v>34</v>
      </c>
      <c r="G38" s="20" t="s">
        <v>31</v>
      </c>
      <c r="H38" s="20">
        <v>0.1043</v>
      </c>
      <c r="I38" s="21">
        <v>3.66</v>
      </c>
      <c r="J38" t="s">
        <v>78</v>
      </c>
    </row>
    <row r="39" spans="1:10" x14ac:dyDescent="0.2">
      <c r="A39" s="9">
        <v>61</v>
      </c>
      <c r="B39" s="9">
        <v>1652</v>
      </c>
      <c r="D39" s="9" t="s">
        <v>27</v>
      </c>
      <c r="E39" t="s">
        <v>36</v>
      </c>
      <c r="F39" t="s">
        <v>34</v>
      </c>
      <c r="G39" t="s">
        <v>31</v>
      </c>
      <c r="H39" s="9">
        <v>0.14219999999999999</v>
      </c>
      <c r="I39" s="19">
        <v>5.94</v>
      </c>
      <c r="J39" t="s">
        <v>78</v>
      </c>
    </row>
    <row r="40" spans="1:10" x14ac:dyDescent="0.2">
      <c r="A40" s="20">
        <v>62</v>
      </c>
      <c r="B40" s="20">
        <v>1278</v>
      </c>
      <c r="C40" s="20"/>
      <c r="D40" s="20" t="s">
        <v>27</v>
      </c>
      <c r="E40" s="20" t="s">
        <v>33</v>
      </c>
      <c r="F40" s="20" t="s">
        <v>34</v>
      </c>
      <c r="G40" s="20" t="s">
        <v>37</v>
      </c>
      <c r="H40" s="20">
        <v>0.14019999999999999</v>
      </c>
      <c r="I40" s="21">
        <v>1.51</v>
      </c>
      <c r="J40" t="s">
        <v>78</v>
      </c>
    </row>
    <row r="41" spans="1:10" x14ac:dyDescent="0.2">
      <c r="A41" s="9">
        <v>64</v>
      </c>
      <c r="B41" s="9">
        <v>1593</v>
      </c>
      <c r="D41" s="9" t="s">
        <v>27</v>
      </c>
      <c r="E41" t="s">
        <v>28</v>
      </c>
      <c r="F41" t="s">
        <v>30</v>
      </c>
      <c r="G41" t="s">
        <v>37</v>
      </c>
      <c r="H41" s="9">
        <v>0.26469999999999999</v>
      </c>
      <c r="I41" s="19">
        <v>3.72</v>
      </c>
      <c r="J41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FB5B-575A-3148-B8C8-2C1795BEB1F0}">
  <sheetPr codeName="Sheet5"/>
  <dimension ref="A1:Q126"/>
  <sheetViews>
    <sheetView tabSelected="1" topLeftCell="A107" zoomScale="140" zoomScaleNormal="140" workbookViewId="0">
      <pane xSplit="1" topLeftCell="K1" activePane="topRight" state="frozen"/>
      <selection pane="topRight" activeCell="O119" sqref="O119"/>
    </sheetView>
  </sheetViews>
  <sheetFormatPr baseColWidth="10" defaultRowHeight="16" x14ac:dyDescent="0.2"/>
  <cols>
    <col min="2" max="2" width="28.33203125" hidden="1" customWidth="1"/>
    <col min="3" max="3" width="54.83203125" hidden="1" customWidth="1"/>
    <col min="4" max="6" width="10.83203125" hidden="1" customWidth="1"/>
    <col min="7" max="7" width="21.6640625" hidden="1" customWidth="1"/>
    <col min="8" max="8" width="28.33203125" hidden="1" customWidth="1"/>
    <col min="9" max="13" width="10.83203125" customWidth="1"/>
    <col min="14" max="15" width="30.1640625" customWidth="1"/>
  </cols>
  <sheetData>
    <row r="1" spans="1:17" s="3" customFormat="1" x14ac:dyDescent="0.2">
      <c r="A1" s="3" t="s">
        <v>0</v>
      </c>
      <c r="B1" s="3" t="s">
        <v>1</v>
      </c>
      <c r="C1" s="4" t="s">
        <v>6</v>
      </c>
      <c r="D1" s="3" t="s">
        <v>3</v>
      </c>
      <c r="E1" s="3" t="s">
        <v>4</v>
      </c>
      <c r="F1" s="3" t="s">
        <v>29</v>
      </c>
      <c r="G1" s="3" t="s">
        <v>5</v>
      </c>
      <c r="H1" s="3" t="s">
        <v>23</v>
      </c>
      <c r="I1" s="3" t="s">
        <v>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248</v>
      </c>
      <c r="P1" s="3" t="s">
        <v>64</v>
      </c>
    </row>
    <row r="2" spans="1:17" x14ac:dyDescent="0.2">
      <c r="A2">
        <v>1</v>
      </c>
      <c r="B2">
        <v>1429</v>
      </c>
      <c r="C2" s="1" t="s">
        <v>7</v>
      </c>
      <c r="D2" t="s">
        <v>27</v>
      </c>
      <c r="E2" t="s">
        <v>28</v>
      </c>
      <c r="F2" t="s">
        <v>30</v>
      </c>
      <c r="G2" t="s">
        <v>31</v>
      </c>
      <c r="H2" t="s">
        <v>32</v>
      </c>
      <c r="I2">
        <v>0.50780000000000003</v>
      </c>
      <c r="L2">
        <f t="shared" ref="L2:L33" si="0">J2*K2</f>
        <v>0</v>
      </c>
      <c r="M2">
        <f t="shared" ref="M2:M33" si="1">L2/I2</f>
        <v>0</v>
      </c>
      <c r="N2" s="11">
        <f t="shared" ref="N2:N33" si="2">M2/1000</f>
        <v>0</v>
      </c>
      <c r="O2" s="11"/>
    </row>
    <row r="3" spans="1:17" x14ac:dyDescent="0.2">
      <c r="A3">
        <v>2</v>
      </c>
      <c r="B3">
        <v>1429</v>
      </c>
      <c r="C3" s="1" t="s">
        <v>8</v>
      </c>
      <c r="D3" t="s">
        <v>27</v>
      </c>
      <c r="E3" t="s">
        <v>28</v>
      </c>
      <c r="F3" t="s">
        <v>30</v>
      </c>
      <c r="G3" t="s">
        <v>31</v>
      </c>
      <c r="H3" t="s">
        <v>32</v>
      </c>
      <c r="I3">
        <v>0.5746</v>
      </c>
      <c r="L3">
        <f t="shared" si="0"/>
        <v>0</v>
      </c>
      <c r="M3">
        <f t="shared" si="1"/>
        <v>0</v>
      </c>
      <c r="N3" s="11">
        <f t="shared" si="2"/>
        <v>0</v>
      </c>
      <c r="O3" s="11"/>
    </row>
    <row r="4" spans="1:17" x14ac:dyDescent="0.2">
      <c r="A4">
        <v>3</v>
      </c>
      <c r="B4">
        <v>1429</v>
      </c>
      <c r="C4" s="1" t="s">
        <v>9</v>
      </c>
      <c r="D4" t="s">
        <v>27</v>
      </c>
      <c r="E4" t="s">
        <v>28</v>
      </c>
      <c r="F4" t="s">
        <v>30</v>
      </c>
      <c r="G4" t="s">
        <v>31</v>
      </c>
      <c r="H4" t="s">
        <v>32</v>
      </c>
      <c r="I4">
        <v>0.35510000000000003</v>
      </c>
      <c r="L4">
        <f t="shared" si="0"/>
        <v>0</v>
      </c>
      <c r="M4">
        <f t="shared" si="1"/>
        <v>0</v>
      </c>
      <c r="N4" s="11">
        <f t="shared" si="2"/>
        <v>0</v>
      </c>
      <c r="O4" s="11"/>
    </row>
    <row r="5" spans="1:17" x14ac:dyDescent="0.2">
      <c r="A5">
        <v>4</v>
      </c>
      <c r="B5">
        <v>1149</v>
      </c>
      <c r="C5" s="1" t="s">
        <v>7</v>
      </c>
      <c r="D5" t="s">
        <v>27</v>
      </c>
      <c r="E5" t="s">
        <v>33</v>
      </c>
      <c r="F5" t="s">
        <v>34</v>
      </c>
      <c r="G5" t="s">
        <v>35</v>
      </c>
      <c r="I5">
        <v>0.21290000000000001</v>
      </c>
      <c r="K5">
        <v>4</v>
      </c>
      <c r="L5">
        <f t="shared" si="0"/>
        <v>0</v>
      </c>
      <c r="M5">
        <f t="shared" si="1"/>
        <v>0</v>
      </c>
      <c r="N5" s="11">
        <f t="shared" si="2"/>
        <v>0</v>
      </c>
      <c r="O5" s="11"/>
      <c r="P5">
        <v>1</v>
      </c>
    </row>
    <row r="6" spans="1:17" x14ac:dyDescent="0.2">
      <c r="A6">
        <v>5</v>
      </c>
      <c r="B6">
        <v>1149</v>
      </c>
      <c r="C6" s="1" t="s">
        <v>10</v>
      </c>
      <c r="D6" t="s">
        <v>27</v>
      </c>
      <c r="E6" t="s">
        <v>33</v>
      </c>
      <c r="F6" t="s">
        <v>34</v>
      </c>
      <c r="G6" t="s">
        <v>35</v>
      </c>
      <c r="I6">
        <v>0.22189999999999999</v>
      </c>
      <c r="L6">
        <f t="shared" si="0"/>
        <v>0</v>
      </c>
      <c r="M6">
        <f t="shared" si="1"/>
        <v>0</v>
      </c>
      <c r="N6" s="11">
        <f t="shared" si="2"/>
        <v>0</v>
      </c>
      <c r="O6" s="11"/>
    </row>
    <row r="7" spans="1:17" x14ac:dyDescent="0.2">
      <c r="A7">
        <v>6</v>
      </c>
      <c r="B7">
        <v>1650</v>
      </c>
      <c r="C7" s="1" t="s">
        <v>7</v>
      </c>
      <c r="D7" t="s">
        <v>27</v>
      </c>
      <c r="E7" t="s">
        <v>36</v>
      </c>
      <c r="F7" t="s">
        <v>34</v>
      </c>
      <c r="G7" t="s">
        <v>31</v>
      </c>
      <c r="H7" t="s">
        <v>32</v>
      </c>
      <c r="I7">
        <v>0.42520000000000002</v>
      </c>
      <c r="L7">
        <f t="shared" si="0"/>
        <v>0</v>
      </c>
      <c r="M7">
        <f t="shared" si="1"/>
        <v>0</v>
      </c>
      <c r="N7" s="11">
        <f t="shared" si="2"/>
        <v>0</v>
      </c>
      <c r="O7" s="11"/>
    </row>
    <row r="8" spans="1:17" x14ac:dyDescent="0.2">
      <c r="A8">
        <v>7</v>
      </c>
      <c r="B8">
        <v>1650</v>
      </c>
      <c r="C8" s="1" t="s">
        <v>11</v>
      </c>
      <c r="D8" t="s">
        <v>27</v>
      </c>
      <c r="E8" t="s">
        <v>36</v>
      </c>
      <c r="F8" t="s">
        <v>34</v>
      </c>
      <c r="G8" t="s">
        <v>31</v>
      </c>
      <c r="H8" t="s">
        <v>32</v>
      </c>
      <c r="I8">
        <v>0.45519999999999999</v>
      </c>
      <c r="L8">
        <f t="shared" si="0"/>
        <v>0</v>
      </c>
      <c r="M8">
        <f t="shared" si="1"/>
        <v>0</v>
      </c>
      <c r="N8" s="11">
        <f t="shared" si="2"/>
        <v>0</v>
      </c>
      <c r="O8" s="11"/>
    </row>
    <row r="9" spans="1:17" x14ac:dyDescent="0.2">
      <c r="A9">
        <v>8</v>
      </c>
      <c r="B9">
        <v>1278</v>
      </c>
      <c r="C9" s="1" t="s">
        <v>7</v>
      </c>
      <c r="D9" t="s">
        <v>27</v>
      </c>
      <c r="E9" t="s">
        <v>33</v>
      </c>
      <c r="F9" t="s">
        <v>34</v>
      </c>
      <c r="G9" t="s">
        <v>37</v>
      </c>
      <c r="I9">
        <v>0.20699999999999999</v>
      </c>
      <c r="K9">
        <v>4</v>
      </c>
      <c r="L9">
        <f t="shared" si="0"/>
        <v>0</v>
      </c>
      <c r="M9">
        <f t="shared" si="1"/>
        <v>0</v>
      </c>
      <c r="N9" s="11">
        <f t="shared" si="2"/>
        <v>0</v>
      </c>
      <c r="O9" s="11"/>
    </row>
    <row r="10" spans="1:17" x14ac:dyDescent="0.2">
      <c r="A10">
        <v>9</v>
      </c>
      <c r="B10">
        <v>1278</v>
      </c>
      <c r="C10" s="1" t="s">
        <v>8</v>
      </c>
      <c r="D10" t="s">
        <v>27</v>
      </c>
      <c r="E10" t="s">
        <v>33</v>
      </c>
      <c r="F10" t="s">
        <v>34</v>
      </c>
      <c r="G10" t="s">
        <v>37</v>
      </c>
      <c r="I10">
        <v>0.27310000000000001</v>
      </c>
      <c r="L10">
        <f t="shared" si="0"/>
        <v>0</v>
      </c>
      <c r="M10">
        <f t="shared" si="1"/>
        <v>0</v>
      </c>
      <c r="N10" s="11">
        <f t="shared" si="2"/>
        <v>0</v>
      </c>
      <c r="O10" s="11"/>
    </row>
    <row r="11" spans="1:17" x14ac:dyDescent="0.2">
      <c r="A11">
        <v>10</v>
      </c>
      <c r="B11">
        <v>1278</v>
      </c>
      <c r="C11" s="1" t="s">
        <v>13</v>
      </c>
      <c r="D11" t="s">
        <v>27</v>
      </c>
      <c r="E11" t="s">
        <v>33</v>
      </c>
      <c r="F11" t="s">
        <v>34</v>
      </c>
      <c r="G11" t="s">
        <v>37</v>
      </c>
      <c r="I11">
        <v>0.32419999999999999</v>
      </c>
      <c r="L11">
        <f t="shared" si="0"/>
        <v>0</v>
      </c>
      <c r="M11">
        <f t="shared" si="1"/>
        <v>0</v>
      </c>
      <c r="N11" s="11">
        <f t="shared" si="2"/>
        <v>0</v>
      </c>
      <c r="O11" s="11"/>
    </row>
    <row r="12" spans="1:17" x14ac:dyDescent="0.2">
      <c r="A12">
        <v>11</v>
      </c>
      <c r="B12">
        <v>1587</v>
      </c>
      <c r="C12" s="1" t="s">
        <v>7</v>
      </c>
      <c r="D12" t="s">
        <v>27</v>
      </c>
      <c r="E12" t="s">
        <v>28</v>
      </c>
      <c r="F12" t="s">
        <v>38</v>
      </c>
      <c r="G12" t="s">
        <v>37</v>
      </c>
      <c r="H12" t="s">
        <v>45</v>
      </c>
      <c r="I12">
        <v>0.19500000000000001</v>
      </c>
      <c r="J12">
        <v>81.599999999999994</v>
      </c>
      <c r="K12">
        <v>4</v>
      </c>
      <c r="L12">
        <f t="shared" si="0"/>
        <v>326.39999999999998</v>
      </c>
      <c r="M12">
        <f t="shared" si="1"/>
        <v>1673.8461538461536</v>
      </c>
      <c r="N12" s="11">
        <f t="shared" si="2"/>
        <v>1.6738461538461535</v>
      </c>
      <c r="O12" s="11"/>
      <c r="P12">
        <v>1</v>
      </c>
      <c r="Q12" s="11">
        <f>AVERAGE(N18,N12)</f>
        <v>0.83692307692307677</v>
      </c>
    </row>
    <row r="13" spans="1:17" x14ac:dyDescent="0.2">
      <c r="A13">
        <v>12</v>
      </c>
      <c r="B13">
        <v>1587</v>
      </c>
      <c r="C13" s="1" t="s">
        <v>8</v>
      </c>
      <c r="D13" t="s">
        <v>27</v>
      </c>
      <c r="E13" t="s">
        <v>28</v>
      </c>
      <c r="F13" t="s">
        <v>38</v>
      </c>
      <c r="G13" t="s">
        <v>37</v>
      </c>
      <c r="H13" t="s">
        <v>45</v>
      </c>
      <c r="I13">
        <v>0.42770000000000002</v>
      </c>
      <c r="J13">
        <v>82.2</v>
      </c>
      <c r="K13">
        <v>4</v>
      </c>
      <c r="L13">
        <f t="shared" si="0"/>
        <v>328.8</v>
      </c>
      <c r="M13">
        <f t="shared" si="1"/>
        <v>768.76315174187516</v>
      </c>
      <c r="N13" s="11">
        <f t="shared" si="2"/>
        <v>0.76876315174187515</v>
      </c>
      <c r="O13" s="11"/>
      <c r="P13">
        <v>1</v>
      </c>
    </row>
    <row r="14" spans="1:17" x14ac:dyDescent="0.2">
      <c r="A14">
        <v>13</v>
      </c>
      <c r="B14">
        <v>1587</v>
      </c>
      <c r="C14" s="1" t="s">
        <v>12</v>
      </c>
      <c r="D14" t="s">
        <v>27</v>
      </c>
      <c r="E14" t="s">
        <v>28</v>
      </c>
      <c r="F14" t="s">
        <v>38</v>
      </c>
      <c r="G14" t="s">
        <v>37</v>
      </c>
      <c r="H14" t="s">
        <v>45</v>
      </c>
      <c r="I14">
        <v>0.40799999999999997</v>
      </c>
      <c r="J14">
        <v>179</v>
      </c>
      <c r="K14">
        <v>4</v>
      </c>
      <c r="L14">
        <f t="shared" si="0"/>
        <v>716</v>
      </c>
      <c r="M14">
        <f t="shared" si="1"/>
        <v>1754.9019607843138</v>
      </c>
      <c r="N14" s="11">
        <f t="shared" si="2"/>
        <v>1.7549019607843137</v>
      </c>
      <c r="O14" s="11"/>
      <c r="P14">
        <v>1</v>
      </c>
    </row>
    <row r="15" spans="1:17" x14ac:dyDescent="0.2">
      <c r="A15">
        <v>14</v>
      </c>
      <c r="B15">
        <v>1593</v>
      </c>
      <c r="C15" s="1" t="s">
        <v>15</v>
      </c>
      <c r="D15" t="s">
        <v>27</v>
      </c>
      <c r="E15" t="s">
        <v>39</v>
      </c>
      <c r="F15" t="s">
        <v>30</v>
      </c>
      <c r="G15" t="s">
        <v>37</v>
      </c>
      <c r="I15">
        <v>0.44119999999999998</v>
      </c>
      <c r="J15">
        <v>68.900000000000006</v>
      </c>
      <c r="K15">
        <v>4</v>
      </c>
      <c r="L15">
        <f t="shared" si="0"/>
        <v>275.60000000000002</v>
      </c>
      <c r="M15">
        <f t="shared" si="1"/>
        <v>624.6600181323663</v>
      </c>
      <c r="N15" s="11">
        <f t="shared" si="2"/>
        <v>0.62466001813236627</v>
      </c>
      <c r="O15" s="11"/>
      <c r="P15">
        <v>1</v>
      </c>
      <c r="Q15" s="11">
        <f>AVERAGE(N15:N17)</f>
        <v>0.20822000604412208</v>
      </c>
    </row>
    <row r="16" spans="1:17" x14ac:dyDescent="0.2">
      <c r="A16">
        <v>15</v>
      </c>
      <c r="B16">
        <v>1593</v>
      </c>
      <c r="C16" s="1" t="s">
        <v>14</v>
      </c>
      <c r="D16" t="s">
        <v>27</v>
      </c>
      <c r="E16" t="s">
        <v>39</v>
      </c>
      <c r="F16" t="s">
        <v>30</v>
      </c>
      <c r="G16" t="s">
        <v>37</v>
      </c>
      <c r="I16">
        <v>0.53600000000000003</v>
      </c>
      <c r="L16">
        <f t="shared" si="0"/>
        <v>0</v>
      </c>
      <c r="M16">
        <f t="shared" si="1"/>
        <v>0</v>
      </c>
      <c r="N16" s="11">
        <f t="shared" si="2"/>
        <v>0</v>
      </c>
      <c r="O16" s="11"/>
    </row>
    <row r="17" spans="1:17" x14ac:dyDescent="0.2">
      <c r="A17">
        <v>16</v>
      </c>
      <c r="B17">
        <v>1652</v>
      </c>
      <c r="C17" s="1" t="s">
        <v>7</v>
      </c>
      <c r="D17" t="s">
        <v>27</v>
      </c>
      <c r="E17" t="s">
        <v>36</v>
      </c>
      <c r="F17" t="s">
        <v>34</v>
      </c>
      <c r="G17" t="s">
        <v>31</v>
      </c>
      <c r="H17" t="s">
        <v>32</v>
      </c>
      <c r="I17">
        <v>0.35799999999999998</v>
      </c>
      <c r="L17">
        <f t="shared" si="0"/>
        <v>0</v>
      </c>
      <c r="M17">
        <f t="shared" si="1"/>
        <v>0</v>
      </c>
      <c r="N17" s="11">
        <f t="shared" si="2"/>
        <v>0</v>
      </c>
      <c r="O17" s="11"/>
    </row>
    <row r="18" spans="1:17" x14ac:dyDescent="0.2">
      <c r="A18">
        <v>17</v>
      </c>
      <c r="B18">
        <v>1652</v>
      </c>
      <c r="C18" s="1" t="s">
        <v>8</v>
      </c>
      <c r="D18" t="s">
        <v>27</v>
      </c>
      <c r="E18" t="s">
        <v>36</v>
      </c>
      <c r="F18" t="s">
        <v>34</v>
      </c>
      <c r="G18" t="s">
        <v>31</v>
      </c>
      <c r="H18" t="s">
        <v>32</v>
      </c>
      <c r="I18">
        <v>0.45610000000000001</v>
      </c>
      <c r="L18">
        <f t="shared" si="0"/>
        <v>0</v>
      </c>
      <c r="M18">
        <f t="shared" si="1"/>
        <v>0</v>
      </c>
      <c r="N18" s="11">
        <f t="shared" si="2"/>
        <v>0</v>
      </c>
      <c r="O18" s="11"/>
    </row>
    <row r="19" spans="1:17" x14ac:dyDescent="0.2">
      <c r="A19">
        <v>18</v>
      </c>
      <c r="B19">
        <v>1652</v>
      </c>
      <c r="C19" s="1" t="s">
        <v>12</v>
      </c>
      <c r="D19" t="s">
        <v>27</v>
      </c>
      <c r="E19" t="s">
        <v>36</v>
      </c>
      <c r="F19" t="s">
        <v>34</v>
      </c>
      <c r="G19" t="s">
        <v>31</v>
      </c>
      <c r="H19" t="s">
        <v>32</v>
      </c>
      <c r="I19">
        <v>0.38479999999999998</v>
      </c>
      <c r="L19">
        <f t="shared" si="0"/>
        <v>0</v>
      </c>
      <c r="M19">
        <f t="shared" si="1"/>
        <v>0</v>
      </c>
      <c r="N19" s="11">
        <f t="shared" si="2"/>
        <v>0</v>
      </c>
      <c r="O19" s="11"/>
    </row>
    <row r="20" spans="1:17" x14ac:dyDescent="0.2">
      <c r="A20">
        <v>19</v>
      </c>
      <c r="B20" t="s">
        <v>16</v>
      </c>
      <c r="C20" s="1" t="s">
        <v>17</v>
      </c>
      <c r="D20" t="s">
        <v>40</v>
      </c>
      <c r="E20" t="s">
        <v>28</v>
      </c>
      <c r="F20" t="s">
        <v>30</v>
      </c>
      <c r="G20" t="s">
        <v>41</v>
      </c>
      <c r="I20">
        <v>0.27729999999999999</v>
      </c>
      <c r="K20">
        <v>2</v>
      </c>
      <c r="L20">
        <f t="shared" si="0"/>
        <v>0</v>
      </c>
      <c r="M20">
        <f t="shared" si="1"/>
        <v>0</v>
      </c>
      <c r="N20" s="11">
        <f t="shared" si="2"/>
        <v>0</v>
      </c>
      <c r="O20" s="11"/>
      <c r="P20">
        <v>1</v>
      </c>
    </row>
    <row r="21" spans="1:17" x14ac:dyDescent="0.2">
      <c r="A21">
        <v>20</v>
      </c>
      <c r="B21" t="s">
        <v>16</v>
      </c>
      <c r="C21" s="1" t="s">
        <v>13</v>
      </c>
      <c r="D21" t="s">
        <v>40</v>
      </c>
      <c r="E21" t="s">
        <v>28</v>
      </c>
      <c r="F21" t="s">
        <v>30</v>
      </c>
      <c r="G21" t="s">
        <v>41</v>
      </c>
      <c r="I21">
        <v>0.25629999999999997</v>
      </c>
      <c r="L21">
        <f t="shared" si="0"/>
        <v>0</v>
      </c>
      <c r="M21">
        <f t="shared" si="1"/>
        <v>0</v>
      </c>
      <c r="N21" s="11">
        <f t="shared" si="2"/>
        <v>0</v>
      </c>
      <c r="O21" s="11"/>
    </row>
    <row r="22" spans="1:17" x14ac:dyDescent="0.2">
      <c r="A22">
        <v>21</v>
      </c>
      <c r="B22">
        <v>1665</v>
      </c>
      <c r="C22" s="2" t="s">
        <v>7</v>
      </c>
      <c r="D22" t="s">
        <v>27</v>
      </c>
      <c r="E22" t="s">
        <v>36</v>
      </c>
      <c r="F22" t="s">
        <v>38</v>
      </c>
      <c r="G22" t="s">
        <v>37</v>
      </c>
      <c r="I22">
        <v>0.24590000000000001</v>
      </c>
      <c r="L22">
        <f t="shared" si="0"/>
        <v>0</v>
      </c>
      <c r="M22">
        <f t="shared" si="1"/>
        <v>0</v>
      </c>
      <c r="N22" s="11">
        <f t="shared" si="2"/>
        <v>0</v>
      </c>
      <c r="O22" s="11"/>
    </row>
    <row r="23" spans="1:17" x14ac:dyDescent="0.2">
      <c r="A23">
        <v>22</v>
      </c>
      <c r="B23">
        <v>1665</v>
      </c>
      <c r="C23" s="2" t="s">
        <v>8</v>
      </c>
      <c r="D23" t="s">
        <v>27</v>
      </c>
      <c r="E23" t="s">
        <v>36</v>
      </c>
      <c r="F23" t="s">
        <v>38</v>
      </c>
      <c r="G23" t="s">
        <v>37</v>
      </c>
      <c r="I23">
        <v>0.26050000000000001</v>
      </c>
      <c r="L23">
        <f t="shared" si="0"/>
        <v>0</v>
      </c>
      <c r="M23">
        <f t="shared" si="1"/>
        <v>0</v>
      </c>
      <c r="N23" s="11">
        <f t="shared" si="2"/>
        <v>0</v>
      </c>
      <c r="O23" s="11"/>
    </row>
    <row r="24" spans="1:17" x14ac:dyDescent="0.2">
      <c r="A24">
        <v>23</v>
      </c>
      <c r="B24">
        <v>1665</v>
      </c>
      <c r="C24" s="2" t="s">
        <v>13</v>
      </c>
      <c r="D24" t="s">
        <v>27</v>
      </c>
      <c r="E24" t="s">
        <v>36</v>
      </c>
      <c r="F24" t="s">
        <v>38</v>
      </c>
      <c r="G24" t="s">
        <v>37</v>
      </c>
      <c r="I24">
        <v>0.29670000000000002</v>
      </c>
      <c r="L24">
        <f t="shared" si="0"/>
        <v>0</v>
      </c>
      <c r="M24">
        <f t="shared" si="1"/>
        <v>0</v>
      </c>
      <c r="N24" s="11">
        <f t="shared" si="2"/>
        <v>0</v>
      </c>
      <c r="O24" s="11"/>
    </row>
    <row r="25" spans="1:17" x14ac:dyDescent="0.2">
      <c r="A25">
        <v>24</v>
      </c>
      <c r="B25" t="s">
        <v>18</v>
      </c>
      <c r="C25" s="1" t="s">
        <v>19</v>
      </c>
      <c r="D25" t="s">
        <v>40</v>
      </c>
      <c r="E25" t="s">
        <v>42</v>
      </c>
      <c r="F25" t="s">
        <v>43</v>
      </c>
      <c r="G25" t="s">
        <v>41</v>
      </c>
      <c r="H25" t="s">
        <v>24</v>
      </c>
      <c r="I25">
        <v>0.22620000000000001</v>
      </c>
      <c r="J25">
        <v>326.60000000000002</v>
      </c>
      <c r="K25">
        <v>2</v>
      </c>
      <c r="L25">
        <f t="shared" si="0"/>
        <v>653.20000000000005</v>
      </c>
      <c r="M25">
        <f t="shared" si="1"/>
        <v>2887.7099911582673</v>
      </c>
      <c r="N25" s="11">
        <f t="shared" si="2"/>
        <v>2.8877099911582671</v>
      </c>
      <c r="O25" s="11"/>
      <c r="P25">
        <v>1</v>
      </c>
    </row>
    <row r="26" spans="1:17" x14ac:dyDescent="0.2">
      <c r="A26">
        <v>25</v>
      </c>
      <c r="B26" t="s">
        <v>18</v>
      </c>
      <c r="C26" s="1" t="s">
        <v>20</v>
      </c>
      <c r="D26" t="s">
        <v>40</v>
      </c>
      <c r="E26" t="s">
        <v>42</v>
      </c>
      <c r="F26" t="s">
        <v>43</v>
      </c>
      <c r="G26" t="s">
        <v>41</v>
      </c>
      <c r="H26" t="s">
        <v>24</v>
      </c>
      <c r="I26">
        <v>0.12939999999999999</v>
      </c>
      <c r="L26">
        <f t="shared" si="0"/>
        <v>0</v>
      </c>
      <c r="M26">
        <f t="shared" si="1"/>
        <v>0</v>
      </c>
      <c r="N26" s="11">
        <f t="shared" si="2"/>
        <v>0</v>
      </c>
      <c r="O26" s="11"/>
    </row>
    <row r="27" spans="1:17" x14ac:dyDescent="0.2">
      <c r="A27">
        <v>26</v>
      </c>
      <c r="B27">
        <v>1585</v>
      </c>
      <c r="C27" s="1" t="s">
        <v>7</v>
      </c>
      <c r="D27" t="s">
        <v>27</v>
      </c>
      <c r="E27" t="s">
        <v>44</v>
      </c>
      <c r="F27" t="s">
        <v>34</v>
      </c>
      <c r="G27" t="s">
        <v>31</v>
      </c>
      <c r="H27" t="s">
        <v>45</v>
      </c>
      <c r="I27">
        <v>0.23</v>
      </c>
      <c r="L27">
        <f t="shared" si="0"/>
        <v>0</v>
      </c>
      <c r="M27">
        <f t="shared" si="1"/>
        <v>0</v>
      </c>
      <c r="N27" s="11">
        <f t="shared" si="2"/>
        <v>0</v>
      </c>
      <c r="O27" s="11"/>
    </row>
    <row r="28" spans="1:17" x14ac:dyDescent="0.2">
      <c r="A28">
        <v>27</v>
      </c>
      <c r="B28">
        <v>1585</v>
      </c>
      <c r="C28" s="1" t="s">
        <v>8</v>
      </c>
      <c r="D28" t="s">
        <v>27</v>
      </c>
      <c r="E28" t="s">
        <v>44</v>
      </c>
      <c r="F28" t="s">
        <v>34</v>
      </c>
      <c r="G28" t="s">
        <v>31</v>
      </c>
      <c r="H28" t="s">
        <v>45</v>
      </c>
      <c r="I28">
        <v>0.22170000000000001</v>
      </c>
      <c r="L28">
        <f t="shared" si="0"/>
        <v>0</v>
      </c>
      <c r="M28">
        <f t="shared" si="1"/>
        <v>0</v>
      </c>
      <c r="N28" s="11">
        <f t="shared" si="2"/>
        <v>0</v>
      </c>
      <c r="O28" s="11"/>
    </row>
    <row r="29" spans="1:17" x14ac:dyDescent="0.2">
      <c r="A29">
        <v>28</v>
      </c>
      <c r="B29">
        <v>1585</v>
      </c>
      <c r="C29" s="1" t="s">
        <v>21</v>
      </c>
      <c r="D29" t="s">
        <v>27</v>
      </c>
      <c r="E29" t="s">
        <v>44</v>
      </c>
      <c r="F29" t="s">
        <v>34</v>
      </c>
      <c r="G29" t="s">
        <v>31</v>
      </c>
      <c r="H29" t="s">
        <v>45</v>
      </c>
      <c r="I29">
        <v>0.29730000000000001</v>
      </c>
      <c r="L29">
        <f t="shared" si="0"/>
        <v>0</v>
      </c>
      <c r="M29">
        <f t="shared" si="1"/>
        <v>0</v>
      </c>
      <c r="N29" s="11">
        <f t="shared" si="2"/>
        <v>0</v>
      </c>
      <c r="O29" s="11"/>
    </row>
    <row r="30" spans="1:17" x14ac:dyDescent="0.2">
      <c r="A30">
        <v>29</v>
      </c>
      <c r="B30">
        <v>1524</v>
      </c>
      <c r="C30" s="2" t="s">
        <v>7</v>
      </c>
      <c r="D30" t="s">
        <v>27</v>
      </c>
      <c r="E30" t="s">
        <v>36</v>
      </c>
      <c r="F30" t="s">
        <v>38</v>
      </c>
      <c r="G30" t="s">
        <v>37</v>
      </c>
      <c r="I30">
        <v>0.32600000000000001</v>
      </c>
      <c r="J30">
        <v>490</v>
      </c>
      <c r="K30">
        <v>1</v>
      </c>
      <c r="L30">
        <f t="shared" si="0"/>
        <v>490</v>
      </c>
      <c r="M30">
        <f t="shared" si="1"/>
        <v>1503.0674846625766</v>
      </c>
      <c r="N30" s="11">
        <f t="shared" si="2"/>
        <v>1.5030674846625767</v>
      </c>
      <c r="O30" s="11"/>
      <c r="P30">
        <v>2</v>
      </c>
      <c r="Q30" s="11">
        <f>AVERAGE(N35,N30)</f>
        <v>0.84115122867008618</v>
      </c>
    </row>
    <row r="31" spans="1:17" x14ac:dyDescent="0.2">
      <c r="A31">
        <v>30</v>
      </c>
      <c r="B31">
        <v>1524</v>
      </c>
      <c r="C31" s="2" t="s">
        <v>8</v>
      </c>
      <c r="D31" t="s">
        <v>27</v>
      </c>
      <c r="E31" t="s">
        <v>36</v>
      </c>
      <c r="F31" t="s">
        <v>38</v>
      </c>
      <c r="G31" t="s">
        <v>37</v>
      </c>
      <c r="I31">
        <v>0.23130000000000001</v>
      </c>
      <c r="J31">
        <v>352.2</v>
      </c>
      <c r="K31">
        <v>1</v>
      </c>
      <c r="L31">
        <f t="shared" si="0"/>
        <v>352.2</v>
      </c>
      <c r="M31">
        <f t="shared" si="1"/>
        <v>1522.6977950713358</v>
      </c>
      <c r="N31" s="11">
        <f t="shared" si="2"/>
        <v>1.5226977950713358</v>
      </c>
      <c r="O31" s="11"/>
      <c r="P31">
        <v>2</v>
      </c>
    </row>
    <row r="32" spans="1:17" x14ac:dyDescent="0.2">
      <c r="A32">
        <v>31</v>
      </c>
      <c r="B32">
        <v>1524</v>
      </c>
      <c r="C32" s="2" t="s">
        <v>12</v>
      </c>
      <c r="D32" t="s">
        <v>27</v>
      </c>
      <c r="E32" t="s">
        <v>36</v>
      </c>
      <c r="F32" t="s">
        <v>38</v>
      </c>
      <c r="G32" t="s">
        <v>37</v>
      </c>
      <c r="I32">
        <v>0.2515</v>
      </c>
      <c r="J32">
        <v>255.5</v>
      </c>
      <c r="K32">
        <v>1</v>
      </c>
      <c r="L32">
        <f t="shared" si="0"/>
        <v>255.5</v>
      </c>
      <c r="M32">
        <f t="shared" si="1"/>
        <v>1015.9045725646123</v>
      </c>
      <c r="N32" s="11">
        <f t="shared" si="2"/>
        <v>1.0159045725646123</v>
      </c>
      <c r="O32" s="11"/>
      <c r="P32">
        <v>2</v>
      </c>
    </row>
    <row r="33" spans="1:16" x14ac:dyDescent="0.2">
      <c r="A33">
        <v>32</v>
      </c>
      <c r="B33" t="s">
        <v>22</v>
      </c>
      <c r="C33" s="1" t="s">
        <v>19</v>
      </c>
      <c r="D33" t="s">
        <v>40</v>
      </c>
      <c r="E33" t="s">
        <v>36</v>
      </c>
      <c r="F33" t="s">
        <v>38</v>
      </c>
      <c r="G33" t="s">
        <v>37</v>
      </c>
      <c r="H33" t="s">
        <v>46</v>
      </c>
      <c r="I33">
        <v>0.3906</v>
      </c>
      <c r="L33">
        <f t="shared" si="0"/>
        <v>0</v>
      </c>
      <c r="M33">
        <f t="shared" si="1"/>
        <v>0</v>
      </c>
      <c r="N33" s="11">
        <f t="shared" si="2"/>
        <v>0</v>
      </c>
      <c r="O33" s="11"/>
    </row>
    <row r="34" spans="1:16" x14ac:dyDescent="0.2">
      <c r="A34">
        <v>33</v>
      </c>
      <c r="B34" t="s">
        <v>22</v>
      </c>
      <c r="C34" s="1" t="s">
        <v>11</v>
      </c>
      <c r="D34" t="s">
        <v>40</v>
      </c>
      <c r="E34" t="s">
        <v>36</v>
      </c>
      <c r="F34" t="s">
        <v>38</v>
      </c>
      <c r="G34" t="s">
        <v>37</v>
      </c>
      <c r="I34">
        <v>0.28029999999999999</v>
      </c>
      <c r="L34">
        <f t="shared" ref="L34:L65" si="3">J34*K34</f>
        <v>0</v>
      </c>
      <c r="M34">
        <f t="shared" ref="M34:M65" si="4">L34/I34</f>
        <v>0</v>
      </c>
      <c r="N34" s="11">
        <f t="shared" ref="N34:N65" si="5">M34/1000</f>
        <v>0</v>
      </c>
      <c r="O34" s="11"/>
    </row>
    <row r="35" spans="1:16" x14ac:dyDescent="0.2">
      <c r="A35">
        <v>34</v>
      </c>
      <c r="B35">
        <v>1035</v>
      </c>
      <c r="C35" s="2" t="s">
        <v>7</v>
      </c>
      <c r="D35" t="s">
        <v>40</v>
      </c>
      <c r="E35" t="s">
        <v>33</v>
      </c>
      <c r="F35" t="s">
        <v>34</v>
      </c>
      <c r="G35" t="s">
        <v>35</v>
      </c>
      <c r="H35" t="s">
        <v>47</v>
      </c>
      <c r="I35">
        <v>0.183</v>
      </c>
      <c r="J35">
        <v>16.399999999999999</v>
      </c>
      <c r="K35">
        <v>2</v>
      </c>
      <c r="L35">
        <f t="shared" si="3"/>
        <v>32.799999999999997</v>
      </c>
      <c r="M35">
        <f t="shared" si="4"/>
        <v>179.23497267759561</v>
      </c>
      <c r="N35" s="11">
        <f t="shared" si="5"/>
        <v>0.17923497267759561</v>
      </c>
      <c r="O35" s="11"/>
      <c r="P35">
        <v>2</v>
      </c>
    </row>
    <row r="36" spans="1:16" x14ac:dyDescent="0.2">
      <c r="A36">
        <v>35</v>
      </c>
      <c r="B36">
        <v>1035</v>
      </c>
      <c r="C36" s="2" t="s">
        <v>8</v>
      </c>
      <c r="D36" t="s">
        <v>40</v>
      </c>
      <c r="E36" t="s">
        <v>33</v>
      </c>
      <c r="F36" t="s">
        <v>34</v>
      </c>
      <c r="G36" t="s">
        <v>35</v>
      </c>
      <c r="H36" t="s">
        <v>47</v>
      </c>
      <c r="I36">
        <v>0.26419999999999999</v>
      </c>
      <c r="J36">
        <v>22.6</v>
      </c>
      <c r="K36">
        <v>2</v>
      </c>
      <c r="L36">
        <f t="shared" si="3"/>
        <v>45.2</v>
      </c>
      <c r="M36">
        <f t="shared" si="4"/>
        <v>171.08251324753977</v>
      </c>
      <c r="N36" s="11">
        <f t="shared" si="5"/>
        <v>0.17108251324753976</v>
      </c>
      <c r="O36" s="11"/>
      <c r="P36">
        <v>2</v>
      </c>
    </row>
    <row r="37" spans="1:16" x14ac:dyDescent="0.2">
      <c r="A37">
        <v>36</v>
      </c>
      <c r="B37">
        <v>1035</v>
      </c>
      <c r="C37" s="2" t="s">
        <v>25</v>
      </c>
      <c r="D37" t="s">
        <v>40</v>
      </c>
      <c r="E37" t="s">
        <v>33</v>
      </c>
      <c r="F37" t="s">
        <v>34</v>
      </c>
      <c r="G37" t="s">
        <v>35</v>
      </c>
      <c r="H37" t="s">
        <v>47</v>
      </c>
      <c r="I37">
        <v>0.18490000000000001</v>
      </c>
      <c r="J37">
        <v>12.2</v>
      </c>
      <c r="K37">
        <v>2</v>
      </c>
      <c r="L37">
        <f t="shared" si="3"/>
        <v>24.4</v>
      </c>
      <c r="M37">
        <f t="shared" si="4"/>
        <v>131.96322336398052</v>
      </c>
      <c r="N37" s="11">
        <f t="shared" si="5"/>
        <v>0.13196322336398053</v>
      </c>
      <c r="O37" s="11"/>
      <c r="P37">
        <v>2</v>
      </c>
    </row>
    <row r="38" spans="1:16" x14ac:dyDescent="0.2">
      <c r="A38">
        <v>37</v>
      </c>
      <c r="B38">
        <v>1650</v>
      </c>
      <c r="C38" s="1" t="s">
        <v>19</v>
      </c>
      <c r="D38" t="s">
        <v>27</v>
      </c>
      <c r="E38" t="s">
        <v>36</v>
      </c>
      <c r="F38" t="s">
        <v>34</v>
      </c>
      <c r="G38" t="s">
        <v>31</v>
      </c>
      <c r="I38">
        <v>0.17979999999999999</v>
      </c>
      <c r="L38">
        <f t="shared" si="3"/>
        <v>0</v>
      </c>
      <c r="M38">
        <f t="shared" si="4"/>
        <v>0</v>
      </c>
      <c r="N38" s="11">
        <f t="shared" si="5"/>
        <v>0</v>
      </c>
      <c r="O38" s="11"/>
    </row>
    <row r="39" spans="1:16" x14ac:dyDescent="0.2">
      <c r="A39">
        <v>38</v>
      </c>
      <c r="B39">
        <v>1650</v>
      </c>
      <c r="C39" s="1" t="s">
        <v>26</v>
      </c>
      <c r="D39" t="s">
        <v>27</v>
      </c>
      <c r="E39" t="s">
        <v>36</v>
      </c>
      <c r="F39" t="s">
        <v>34</v>
      </c>
      <c r="G39" t="s">
        <v>31</v>
      </c>
      <c r="I39">
        <v>0.40079999999999999</v>
      </c>
      <c r="L39">
        <f t="shared" si="3"/>
        <v>0</v>
      </c>
      <c r="M39">
        <f t="shared" si="4"/>
        <v>0</v>
      </c>
      <c r="N39" s="11">
        <f t="shared" si="5"/>
        <v>0</v>
      </c>
      <c r="O39" s="11"/>
    </row>
    <row r="40" spans="1:16" x14ac:dyDescent="0.2">
      <c r="A40" s="12">
        <v>51</v>
      </c>
      <c r="B40" s="12">
        <v>1429</v>
      </c>
      <c r="C40" s="13"/>
      <c r="D40" s="12" t="s">
        <v>27</v>
      </c>
      <c r="E40" s="13"/>
      <c r="F40" s="13" t="s">
        <v>34</v>
      </c>
      <c r="G40" s="13" t="s">
        <v>31</v>
      </c>
      <c r="H40" s="13"/>
      <c r="I40" s="12">
        <v>0.15770000000000001</v>
      </c>
      <c r="J40" s="13">
        <v>56.5</v>
      </c>
      <c r="K40" s="13">
        <v>4</v>
      </c>
      <c r="L40" s="13">
        <f t="shared" si="3"/>
        <v>226</v>
      </c>
      <c r="M40" s="13">
        <f t="shared" si="4"/>
        <v>1433.1008243500316</v>
      </c>
      <c r="N40" s="14">
        <f t="shared" si="5"/>
        <v>1.4331008243500316</v>
      </c>
      <c r="O40" s="14">
        <v>3.7</v>
      </c>
      <c r="P40" s="13" t="s">
        <v>73</v>
      </c>
    </row>
    <row r="41" spans="1:16" x14ac:dyDescent="0.2">
      <c r="A41" s="12">
        <v>51</v>
      </c>
      <c r="B41" s="12">
        <v>1429</v>
      </c>
      <c r="C41" s="13" t="s">
        <v>76</v>
      </c>
      <c r="D41" s="12" t="s">
        <v>27</v>
      </c>
      <c r="E41" s="13"/>
      <c r="F41" s="13" t="s">
        <v>34</v>
      </c>
      <c r="G41" s="13" t="s">
        <v>31</v>
      </c>
      <c r="H41" s="13"/>
      <c r="I41" s="12">
        <v>0.15770000000000001</v>
      </c>
      <c r="J41" s="13">
        <v>59.6</v>
      </c>
      <c r="K41" s="13">
        <v>4</v>
      </c>
      <c r="L41" s="13">
        <f t="shared" si="3"/>
        <v>238.4</v>
      </c>
      <c r="M41" s="13">
        <f t="shared" si="4"/>
        <v>1511.7311350665821</v>
      </c>
      <c r="N41" s="14">
        <f t="shared" si="5"/>
        <v>1.5117311350665821</v>
      </c>
      <c r="O41" s="14"/>
      <c r="P41" s="13">
        <v>4</v>
      </c>
    </row>
    <row r="42" spans="1:16" x14ac:dyDescent="0.2">
      <c r="A42" s="12">
        <v>52</v>
      </c>
      <c r="B42" s="12">
        <v>1587</v>
      </c>
      <c r="C42" s="13"/>
      <c r="D42" s="12" t="s">
        <v>27</v>
      </c>
      <c r="E42" s="13"/>
      <c r="F42" s="13" t="s">
        <v>38</v>
      </c>
      <c r="G42" s="13" t="s">
        <v>37</v>
      </c>
      <c r="H42" s="13"/>
      <c r="I42" s="12">
        <v>0.22040000000000001</v>
      </c>
      <c r="J42" s="13">
        <v>131.19999999999999</v>
      </c>
      <c r="K42" s="13">
        <v>4</v>
      </c>
      <c r="L42" s="13">
        <f t="shared" si="3"/>
        <v>524.79999999999995</v>
      </c>
      <c r="M42" s="13">
        <f t="shared" si="4"/>
        <v>2381.1252268602539</v>
      </c>
      <c r="N42" s="14">
        <f t="shared" si="5"/>
        <v>2.3811252268602541</v>
      </c>
      <c r="O42" s="14">
        <v>4</v>
      </c>
      <c r="P42" s="13" t="s">
        <v>73</v>
      </c>
    </row>
    <row r="43" spans="1:16" x14ac:dyDescent="0.2">
      <c r="A43" s="12">
        <v>52</v>
      </c>
      <c r="B43" s="12">
        <v>1587</v>
      </c>
      <c r="C43" s="13" t="s">
        <v>76</v>
      </c>
      <c r="D43" s="12" t="s">
        <v>27</v>
      </c>
      <c r="E43" s="13"/>
      <c r="F43" s="13" t="s">
        <v>38</v>
      </c>
      <c r="G43" s="13" t="s">
        <v>37</v>
      </c>
      <c r="H43" s="13"/>
      <c r="I43" s="12">
        <v>0.22040000000000001</v>
      </c>
      <c r="J43" s="13">
        <v>149</v>
      </c>
      <c r="K43" s="13">
        <v>4</v>
      </c>
      <c r="L43" s="13">
        <f t="shared" si="3"/>
        <v>596</v>
      </c>
      <c r="M43" s="13">
        <f t="shared" si="4"/>
        <v>2704.174228675136</v>
      </c>
      <c r="N43" s="14">
        <f t="shared" si="5"/>
        <v>2.7041742286751358</v>
      </c>
      <c r="O43" s="14"/>
      <c r="P43" s="13">
        <v>4</v>
      </c>
    </row>
    <row r="44" spans="1:16" x14ac:dyDescent="0.2">
      <c r="A44" s="12">
        <v>53</v>
      </c>
      <c r="B44" s="12">
        <v>1650</v>
      </c>
      <c r="C44" s="13"/>
      <c r="D44" s="12" t="s">
        <v>27</v>
      </c>
      <c r="E44" s="13"/>
      <c r="F44" s="13" t="s">
        <v>34</v>
      </c>
      <c r="G44" s="13" t="s">
        <v>31</v>
      </c>
      <c r="H44" s="13"/>
      <c r="I44" s="12">
        <v>0.22020000000000001</v>
      </c>
      <c r="J44" s="13">
        <v>90</v>
      </c>
      <c r="K44" s="13">
        <v>4</v>
      </c>
      <c r="L44" s="13">
        <f t="shared" si="3"/>
        <v>360</v>
      </c>
      <c r="M44" s="13">
        <f t="shared" si="4"/>
        <v>1634.8773841961852</v>
      </c>
      <c r="N44" s="14">
        <f t="shared" si="5"/>
        <v>1.6348773841961852</v>
      </c>
      <c r="O44" s="14">
        <v>1.9</v>
      </c>
      <c r="P44" s="13" t="s">
        <v>73</v>
      </c>
    </row>
    <row r="45" spans="1:16" x14ac:dyDescent="0.2">
      <c r="A45" s="12">
        <v>53</v>
      </c>
      <c r="B45" s="12">
        <v>1650</v>
      </c>
      <c r="C45" s="13" t="s">
        <v>76</v>
      </c>
      <c r="D45" s="12" t="s">
        <v>27</v>
      </c>
      <c r="E45" s="13"/>
      <c r="F45" s="13" t="s">
        <v>34</v>
      </c>
      <c r="G45" s="13" t="s">
        <v>31</v>
      </c>
      <c r="H45" s="13"/>
      <c r="I45" s="12">
        <v>0.22020000000000001</v>
      </c>
      <c r="J45" s="13">
        <v>92.9</v>
      </c>
      <c r="K45" s="13">
        <v>4</v>
      </c>
      <c r="L45" s="13">
        <f t="shared" si="3"/>
        <v>371.6</v>
      </c>
      <c r="M45" s="13">
        <f t="shared" si="4"/>
        <v>1687.5567665758401</v>
      </c>
      <c r="N45" s="14">
        <f t="shared" si="5"/>
        <v>1.6875567665758402</v>
      </c>
      <c r="O45" s="14"/>
      <c r="P45" s="13">
        <v>4</v>
      </c>
    </row>
    <row r="46" spans="1:16" x14ac:dyDescent="0.2">
      <c r="A46" s="12">
        <v>54</v>
      </c>
      <c r="B46" s="12">
        <v>1524</v>
      </c>
      <c r="C46" s="13"/>
      <c r="D46" s="12" t="s">
        <v>27</v>
      </c>
      <c r="E46" s="13"/>
      <c r="F46" s="13" t="s">
        <v>38</v>
      </c>
      <c r="G46" s="13" t="s">
        <v>37</v>
      </c>
      <c r="H46" s="13"/>
      <c r="I46" s="12">
        <v>0.1754</v>
      </c>
      <c r="J46" s="13">
        <v>74.400000000000006</v>
      </c>
      <c r="K46" s="13">
        <v>4</v>
      </c>
      <c r="L46" s="13">
        <f t="shared" si="3"/>
        <v>297.60000000000002</v>
      </c>
      <c r="M46" s="13">
        <f t="shared" si="4"/>
        <v>1696.6932725199545</v>
      </c>
      <c r="N46" s="14">
        <f t="shared" si="5"/>
        <v>1.6966932725199544</v>
      </c>
      <c r="O46" s="14">
        <v>2.1</v>
      </c>
      <c r="P46" s="13" t="s">
        <v>73</v>
      </c>
    </row>
    <row r="47" spans="1:16" x14ac:dyDescent="0.2">
      <c r="A47" s="12">
        <v>54</v>
      </c>
      <c r="B47" s="12">
        <v>1524</v>
      </c>
      <c r="C47" s="13" t="s">
        <v>76</v>
      </c>
      <c r="D47" s="12" t="s">
        <v>27</v>
      </c>
      <c r="E47" s="13"/>
      <c r="F47" s="13" t="s">
        <v>38</v>
      </c>
      <c r="G47" s="13" t="s">
        <v>37</v>
      </c>
      <c r="H47" s="13"/>
      <c r="I47" s="12">
        <v>0.1754</v>
      </c>
      <c r="J47" s="13">
        <v>81.400000000000006</v>
      </c>
      <c r="K47" s="13">
        <v>4</v>
      </c>
      <c r="L47" s="13">
        <f t="shared" si="3"/>
        <v>325.60000000000002</v>
      </c>
      <c r="M47" s="13">
        <f t="shared" si="4"/>
        <v>1856.3283922462942</v>
      </c>
      <c r="N47" s="14">
        <f t="shared" si="5"/>
        <v>1.8563283922462943</v>
      </c>
      <c r="O47" s="14"/>
      <c r="P47" s="13">
        <v>4</v>
      </c>
    </row>
    <row r="48" spans="1:16" x14ac:dyDescent="0.2">
      <c r="A48" s="12">
        <v>55</v>
      </c>
      <c r="B48" s="12">
        <v>1665</v>
      </c>
      <c r="C48" s="13"/>
      <c r="D48" s="12" t="s">
        <v>27</v>
      </c>
      <c r="E48" s="13"/>
      <c r="F48" s="13" t="s">
        <v>38</v>
      </c>
      <c r="G48" s="13" t="s">
        <v>37</v>
      </c>
      <c r="H48" s="13"/>
      <c r="I48" s="12">
        <v>0.13700000000000001</v>
      </c>
      <c r="J48" s="13">
        <v>737.1</v>
      </c>
      <c r="K48" s="13">
        <v>4</v>
      </c>
      <c r="L48" s="13">
        <f t="shared" si="3"/>
        <v>2948.4</v>
      </c>
      <c r="M48" s="13">
        <f t="shared" si="4"/>
        <v>21521.167883211678</v>
      </c>
      <c r="N48" s="14">
        <f t="shared" si="5"/>
        <v>21.521167883211678</v>
      </c>
      <c r="O48" s="14">
        <v>0.95</v>
      </c>
      <c r="P48" s="13" t="s">
        <v>73</v>
      </c>
    </row>
    <row r="49" spans="1:16" x14ac:dyDescent="0.2">
      <c r="A49" s="12">
        <v>55</v>
      </c>
      <c r="B49" s="12">
        <v>1665</v>
      </c>
      <c r="C49" s="13" t="s">
        <v>76</v>
      </c>
      <c r="D49" s="12" t="s">
        <v>27</v>
      </c>
      <c r="E49" s="13"/>
      <c r="F49" s="13" t="s">
        <v>38</v>
      </c>
      <c r="G49" s="13" t="s">
        <v>37</v>
      </c>
      <c r="H49" s="13"/>
      <c r="I49" s="12">
        <v>0.13700000000000001</v>
      </c>
      <c r="J49" s="13">
        <v>742</v>
      </c>
      <c r="K49" s="13">
        <v>4</v>
      </c>
      <c r="L49" s="13">
        <f t="shared" si="3"/>
        <v>2968</v>
      </c>
      <c r="M49" s="13">
        <f t="shared" si="4"/>
        <v>21664.233576642335</v>
      </c>
      <c r="N49" s="14">
        <f t="shared" si="5"/>
        <v>21.664233576642335</v>
      </c>
      <c r="O49" s="14"/>
      <c r="P49" s="13">
        <v>4</v>
      </c>
    </row>
    <row r="50" spans="1:16" x14ac:dyDescent="0.2">
      <c r="A50" s="12">
        <v>56</v>
      </c>
      <c r="B50" s="12">
        <v>1149</v>
      </c>
      <c r="C50" s="13" t="s">
        <v>76</v>
      </c>
      <c r="D50" s="12" t="s">
        <v>27</v>
      </c>
      <c r="E50" s="13"/>
      <c r="F50" s="13" t="s">
        <v>34</v>
      </c>
      <c r="G50" s="13" t="s">
        <v>35</v>
      </c>
      <c r="H50" s="13"/>
      <c r="I50" s="12">
        <v>0.19539999999999999</v>
      </c>
      <c r="J50" s="13">
        <v>45.9</v>
      </c>
      <c r="K50" s="13">
        <v>4</v>
      </c>
      <c r="L50" s="13">
        <f t="shared" si="3"/>
        <v>183.6</v>
      </c>
      <c r="M50" s="13">
        <f t="shared" si="4"/>
        <v>939.6110542476971</v>
      </c>
      <c r="N50" s="14">
        <f t="shared" si="5"/>
        <v>0.93961105424769709</v>
      </c>
      <c r="O50" s="14"/>
      <c r="P50" s="13">
        <v>4</v>
      </c>
    </row>
    <row r="51" spans="1:16" x14ac:dyDescent="0.2">
      <c r="A51" s="12">
        <v>56</v>
      </c>
      <c r="B51" s="12">
        <v>1149</v>
      </c>
      <c r="C51" s="13"/>
      <c r="D51" s="12" t="s">
        <v>27</v>
      </c>
      <c r="E51" s="13"/>
      <c r="F51" s="13" t="s">
        <v>34</v>
      </c>
      <c r="G51" s="13" t="s">
        <v>35</v>
      </c>
      <c r="H51" s="13"/>
      <c r="I51" s="12">
        <v>0.19539999999999999</v>
      </c>
      <c r="J51" s="13">
        <v>48.6</v>
      </c>
      <c r="K51" s="13">
        <v>4</v>
      </c>
      <c r="L51" s="13">
        <f t="shared" si="3"/>
        <v>194.4</v>
      </c>
      <c r="M51" s="13">
        <f t="shared" si="4"/>
        <v>994.88229273285572</v>
      </c>
      <c r="N51" s="14">
        <f t="shared" si="5"/>
        <v>0.99488229273285567</v>
      </c>
      <c r="O51" s="14">
        <v>2.8</v>
      </c>
      <c r="P51" s="13" t="s">
        <v>73</v>
      </c>
    </row>
    <row r="52" spans="1:16" x14ac:dyDescent="0.2">
      <c r="A52" s="12">
        <v>57</v>
      </c>
      <c r="B52" s="13" t="s">
        <v>16</v>
      </c>
      <c r="C52" s="13" t="s">
        <v>76</v>
      </c>
      <c r="D52" s="12" t="s">
        <v>40</v>
      </c>
      <c r="E52" s="13"/>
      <c r="F52" s="13" t="s">
        <v>30</v>
      </c>
      <c r="G52" s="13" t="s">
        <v>41</v>
      </c>
      <c r="H52" s="13"/>
      <c r="I52" s="12">
        <v>0.193</v>
      </c>
      <c r="J52" s="13">
        <v>52.3</v>
      </c>
      <c r="K52" s="13">
        <v>2</v>
      </c>
      <c r="L52" s="13">
        <f t="shared" si="3"/>
        <v>104.6</v>
      </c>
      <c r="M52" s="13">
        <f t="shared" si="4"/>
        <v>541.96891191709835</v>
      </c>
      <c r="N52" s="14">
        <f t="shared" si="5"/>
        <v>0.54196891191709839</v>
      </c>
      <c r="O52" s="14"/>
      <c r="P52" s="13">
        <v>4</v>
      </c>
    </row>
    <row r="53" spans="1:16" x14ac:dyDescent="0.2">
      <c r="A53" s="12">
        <v>57</v>
      </c>
      <c r="B53" s="13" t="s">
        <v>16</v>
      </c>
      <c r="C53" s="13"/>
      <c r="D53" s="12" t="s">
        <v>40</v>
      </c>
      <c r="E53" s="13"/>
      <c r="F53" s="13" t="s">
        <v>30</v>
      </c>
      <c r="G53" s="13" t="s">
        <v>41</v>
      </c>
      <c r="H53" s="13"/>
      <c r="I53" s="12">
        <v>0.193</v>
      </c>
      <c r="J53" s="13">
        <v>56.5</v>
      </c>
      <c r="K53" s="13">
        <v>2</v>
      </c>
      <c r="L53" s="13">
        <f t="shared" si="3"/>
        <v>113</v>
      </c>
      <c r="M53" s="13">
        <f t="shared" si="4"/>
        <v>585.49222797927462</v>
      </c>
      <c r="N53" s="14">
        <f t="shared" si="5"/>
        <v>0.58549222797927458</v>
      </c>
      <c r="O53" s="14">
        <v>0.24</v>
      </c>
      <c r="P53" s="13" t="s">
        <v>73</v>
      </c>
    </row>
    <row r="54" spans="1:16" x14ac:dyDescent="0.2">
      <c r="A54" s="12">
        <v>58</v>
      </c>
      <c r="B54" s="12">
        <v>1035</v>
      </c>
      <c r="C54" s="13"/>
      <c r="D54" s="12" t="s">
        <v>40</v>
      </c>
      <c r="E54" s="13"/>
      <c r="F54" s="13" t="s">
        <v>34</v>
      </c>
      <c r="G54" s="13" t="s">
        <v>35</v>
      </c>
      <c r="H54" s="13" t="s">
        <v>47</v>
      </c>
      <c r="I54" s="12">
        <v>0.12720000000000001</v>
      </c>
      <c r="J54" s="13">
        <v>56.5</v>
      </c>
      <c r="K54" s="13">
        <v>2</v>
      </c>
      <c r="L54" s="13">
        <f t="shared" si="3"/>
        <v>113</v>
      </c>
      <c r="M54" s="13">
        <f t="shared" si="4"/>
        <v>888.36477987421381</v>
      </c>
      <c r="N54" s="14">
        <f t="shared" si="5"/>
        <v>0.88836477987421381</v>
      </c>
      <c r="O54" s="14">
        <v>2.8</v>
      </c>
      <c r="P54" s="13" t="s">
        <v>73</v>
      </c>
    </row>
    <row r="55" spans="1:16" x14ac:dyDescent="0.2">
      <c r="A55" s="12">
        <v>58</v>
      </c>
      <c r="B55" s="12">
        <v>1035</v>
      </c>
      <c r="C55" s="13" t="s">
        <v>76</v>
      </c>
      <c r="D55" s="12" t="s">
        <v>40</v>
      </c>
      <c r="E55" s="13"/>
      <c r="F55" s="13" t="s">
        <v>34</v>
      </c>
      <c r="G55" s="13" t="s">
        <v>35</v>
      </c>
      <c r="H55" s="13" t="s">
        <v>47</v>
      </c>
      <c r="I55" s="12">
        <v>0.12720000000000001</v>
      </c>
      <c r="J55" s="13">
        <v>57.8</v>
      </c>
      <c r="K55" s="13">
        <v>2</v>
      </c>
      <c r="L55" s="13">
        <f t="shared" si="3"/>
        <v>115.6</v>
      </c>
      <c r="M55" s="13">
        <f t="shared" si="4"/>
        <v>908.80503144654074</v>
      </c>
      <c r="N55" s="14">
        <f t="shared" si="5"/>
        <v>0.90880503144654079</v>
      </c>
      <c r="O55" s="14"/>
      <c r="P55" s="13">
        <v>4</v>
      </c>
    </row>
    <row r="56" spans="1:16" x14ac:dyDescent="0.2">
      <c r="A56" s="12">
        <v>59</v>
      </c>
      <c r="B56" s="13" t="s">
        <v>18</v>
      </c>
      <c r="C56" s="13"/>
      <c r="D56" s="12" t="s">
        <v>40</v>
      </c>
      <c r="E56" s="13"/>
      <c r="F56" s="13" t="s">
        <v>43</v>
      </c>
      <c r="G56" s="13" t="s">
        <v>41</v>
      </c>
      <c r="H56" s="13"/>
      <c r="I56" s="12">
        <v>0.16059999999999999</v>
      </c>
      <c r="J56" s="13">
        <v>210.7</v>
      </c>
      <c r="K56" s="13">
        <v>2</v>
      </c>
      <c r="L56" s="13">
        <f t="shared" si="3"/>
        <v>421.4</v>
      </c>
      <c r="M56" s="13">
        <f t="shared" si="4"/>
        <v>2623.9103362391033</v>
      </c>
      <c r="N56" s="14">
        <f t="shared" si="5"/>
        <v>2.6239103362391032</v>
      </c>
      <c r="O56" s="14">
        <v>1.5</v>
      </c>
      <c r="P56" s="13" t="s">
        <v>73</v>
      </c>
    </row>
    <row r="57" spans="1:16" x14ac:dyDescent="0.2">
      <c r="A57" s="12">
        <v>59</v>
      </c>
      <c r="B57" s="13" t="s">
        <v>18</v>
      </c>
      <c r="C57" s="13" t="s">
        <v>76</v>
      </c>
      <c r="D57" s="12" t="s">
        <v>40</v>
      </c>
      <c r="E57" s="13"/>
      <c r="F57" s="13" t="s">
        <v>43</v>
      </c>
      <c r="G57" s="13" t="s">
        <v>41</v>
      </c>
      <c r="H57" s="13"/>
      <c r="I57" s="12">
        <v>0.16059999999999999</v>
      </c>
      <c r="J57" s="13">
        <v>240.7</v>
      </c>
      <c r="K57" s="13">
        <v>2</v>
      </c>
      <c r="L57" s="13">
        <f t="shared" si="3"/>
        <v>481.4</v>
      </c>
      <c r="M57" s="13">
        <f t="shared" si="4"/>
        <v>2997.5093399750936</v>
      </c>
      <c r="N57" s="14">
        <f t="shared" si="5"/>
        <v>2.9975093399750934</v>
      </c>
      <c r="O57" s="14"/>
      <c r="P57" s="13">
        <v>4</v>
      </c>
    </row>
    <row r="58" spans="1:16" x14ac:dyDescent="0.2">
      <c r="A58" s="12">
        <v>60</v>
      </c>
      <c r="B58" s="12">
        <v>1585</v>
      </c>
      <c r="C58" s="13"/>
      <c r="D58" s="12" t="s">
        <v>27</v>
      </c>
      <c r="E58" s="13"/>
      <c r="F58" s="13" t="s">
        <v>34</v>
      </c>
      <c r="G58" s="13" t="s">
        <v>31</v>
      </c>
      <c r="H58" s="13"/>
      <c r="I58" s="12">
        <v>0.1043</v>
      </c>
      <c r="J58" s="13">
        <v>109.6</v>
      </c>
      <c r="K58" s="13">
        <v>4</v>
      </c>
      <c r="L58" s="13">
        <f t="shared" si="3"/>
        <v>438.4</v>
      </c>
      <c r="M58" s="13">
        <f t="shared" si="4"/>
        <v>4203.2598274209013</v>
      </c>
      <c r="N58" s="14">
        <f t="shared" si="5"/>
        <v>4.2032598274209017</v>
      </c>
      <c r="O58" s="14">
        <v>1.6</v>
      </c>
      <c r="P58" s="13" t="s">
        <v>73</v>
      </c>
    </row>
    <row r="59" spans="1:16" x14ac:dyDescent="0.2">
      <c r="A59" s="12">
        <v>60</v>
      </c>
      <c r="B59" s="12">
        <v>1585</v>
      </c>
      <c r="C59" s="13" t="s">
        <v>76</v>
      </c>
      <c r="D59" s="12" t="s">
        <v>27</v>
      </c>
      <c r="E59" s="13"/>
      <c r="F59" s="13" t="s">
        <v>34</v>
      </c>
      <c r="G59" s="13" t="s">
        <v>31</v>
      </c>
      <c r="H59" s="13"/>
      <c r="I59" s="12">
        <v>0.1043</v>
      </c>
      <c r="J59" s="13">
        <v>125.5</v>
      </c>
      <c r="K59" s="13">
        <v>4</v>
      </c>
      <c r="L59" s="13">
        <f t="shared" si="3"/>
        <v>502</v>
      </c>
      <c r="M59" s="13">
        <f t="shared" si="4"/>
        <v>4813.0393096836051</v>
      </c>
      <c r="N59" s="14">
        <f t="shared" si="5"/>
        <v>4.8130393096836048</v>
      </c>
      <c r="O59" s="14"/>
      <c r="P59" s="13">
        <v>4</v>
      </c>
    </row>
    <row r="60" spans="1:16" x14ac:dyDescent="0.2">
      <c r="A60" s="12">
        <v>61</v>
      </c>
      <c r="B60" s="12">
        <v>1652</v>
      </c>
      <c r="C60" s="13"/>
      <c r="D60" s="12" t="s">
        <v>27</v>
      </c>
      <c r="E60" s="13"/>
      <c r="F60" s="13" t="s">
        <v>34</v>
      </c>
      <c r="G60" s="13" t="s">
        <v>31</v>
      </c>
      <c r="H60" s="13"/>
      <c r="I60" s="12">
        <v>0.14219999999999999</v>
      </c>
      <c r="J60" s="13">
        <v>233.7</v>
      </c>
      <c r="K60" s="13">
        <v>4</v>
      </c>
      <c r="L60" s="13">
        <f t="shared" si="3"/>
        <v>934.8</v>
      </c>
      <c r="M60" s="13">
        <f t="shared" si="4"/>
        <v>6573.8396624472571</v>
      </c>
      <c r="N60" s="14">
        <f t="shared" si="5"/>
        <v>6.5738396624472575</v>
      </c>
      <c r="O60" s="14">
        <v>2.21</v>
      </c>
      <c r="P60" s="13" t="s">
        <v>73</v>
      </c>
    </row>
    <row r="61" spans="1:16" x14ac:dyDescent="0.2">
      <c r="A61" s="12">
        <v>61</v>
      </c>
      <c r="B61" s="12">
        <v>1652</v>
      </c>
      <c r="C61" s="13" t="s">
        <v>76</v>
      </c>
      <c r="D61" s="12" t="s">
        <v>27</v>
      </c>
      <c r="E61" s="13"/>
      <c r="F61" s="13" t="s">
        <v>34</v>
      </c>
      <c r="G61" s="13" t="s">
        <v>31</v>
      </c>
      <c r="H61" s="13"/>
      <c r="I61" s="12">
        <v>0.14219999999999999</v>
      </c>
      <c r="J61" s="13">
        <v>279</v>
      </c>
      <c r="K61" s="13">
        <v>4</v>
      </c>
      <c r="L61" s="13">
        <f t="shared" si="3"/>
        <v>1116</v>
      </c>
      <c r="M61" s="13">
        <f t="shared" si="4"/>
        <v>7848.1012658227855</v>
      </c>
      <c r="N61" s="14">
        <f t="shared" si="5"/>
        <v>7.8481012658227858</v>
      </c>
      <c r="O61" s="14"/>
      <c r="P61" s="13">
        <v>4</v>
      </c>
    </row>
    <row r="62" spans="1:16" x14ac:dyDescent="0.2">
      <c r="A62" s="12">
        <v>62</v>
      </c>
      <c r="B62" s="12">
        <v>1278</v>
      </c>
      <c r="C62" s="13" t="s">
        <v>76</v>
      </c>
      <c r="D62" s="12" t="s">
        <v>27</v>
      </c>
      <c r="E62" s="13"/>
      <c r="F62" s="13" t="s">
        <v>34</v>
      </c>
      <c r="G62" s="13" t="s">
        <v>37</v>
      </c>
      <c r="H62" s="13"/>
      <c r="I62" s="12">
        <v>0.14019999999999999</v>
      </c>
      <c r="J62" s="13">
        <v>9.6</v>
      </c>
      <c r="K62" s="13">
        <v>4</v>
      </c>
      <c r="L62" s="13">
        <f t="shared" si="3"/>
        <v>38.4</v>
      </c>
      <c r="M62" s="13">
        <f t="shared" si="4"/>
        <v>273.89443651925819</v>
      </c>
      <c r="N62" s="15">
        <f t="shared" si="5"/>
        <v>0.27389443651925821</v>
      </c>
      <c r="O62" s="15"/>
      <c r="P62" s="13">
        <v>4</v>
      </c>
    </row>
    <row r="63" spans="1:16" x14ac:dyDescent="0.2">
      <c r="A63" s="12">
        <v>62</v>
      </c>
      <c r="B63" s="12">
        <v>1278</v>
      </c>
      <c r="C63" s="13"/>
      <c r="D63" s="12" t="s">
        <v>27</v>
      </c>
      <c r="E63" s="13"/>
      <c r="F63" s="13" t="s">
        <v>34</v>
      </c>
      <c r="G63" s="13" t="s">
        <v>37</v>
      </c>
      <c r="H63" s="13"/>
      <c r="I63" s="12">
        <v>0.14019999999999999</v>
      </c>
      <c r="J63" s="13">
        <v>31.1</v>
      </c>
      <c r="K63" s="13">
        <v>4</v>
      </c>
      <c r="L63" s="13">
        <f t="shared" si="3"/>
        <v>124.4</v>
      </c>
      <c r="M63" s="13">
        <f t="shared" si="4"/>
        <v>887.3038516405137</v>
      </c>
      <c r="N63" s="15">
        <f t="shared" si="5"/>
        <v>0.88730385164051373</v>
      </c>
      <c r="O63" s="15">
        <v>4.2699999999999996</v>
      </c>
      <c r="P63" s="13" t="s">
        <v>73</v>
      </c>
    </row>
    <row r="64" spans="1:16" x14ac:dyDescent="0.2">
      <c r="A64" s="12">
        <v>63</v>
      </c>
      <c r="B64" s="13" t="s">
        <v>22</v>
      </c>
      <c r="C64" s="13"/>
      <c r="D64" s="12" t="s">
        <v>40</v>
      </c>
      <c r="E64" s="13"/>
      <c r="F64" s="13" t="s">
        <v>38</v>
      </c>
      <c r="G64" s="13" t="s">
        <v>37</v>
      </c>
      <c r="H64" s="13"/>
      <c r="I64" s="12">
        <v>0.20269999999999999</v>
      </c>
      <c r="J64" s="13"/>
      <c r="K64" s="13"/>
      <c r="L64" s="13">
        <f t="shared" si="3"/>
        <v>0</v>
      </c>
      <c r="M64" s="13">
        <f t="shared" si="4"/>
        <v>0</v>
      </c>
      <c r="N64" s="14">
        <f t="shared" si="5"/>
        <v>0</v>
      </c>
      <c r="O64" s="14"/>
      <c r="P64" s="13" t="s">
        <v>74</v>
      </c>
    </row>
    <row r="65" spans="1:16" x14ac:dyDescent="0.2">
      <c r="A65" s="12">
        <v>63</v>
      </c>
      <c r="B65" s="13" t="s">
        <v>22</v>
      </c>
      <c r="C65" s="13"/>
      <c r="D65" s="12" t="s">
        <v>40</v>
      </c>
      <c r="E65" s="13"/>
      <c r="F65" s="13" t="s">
        <v>38</v>
      </c>
      <c r="G65" s="13" t="s">
        <v>37</v>
      </c>
      <c r="H65" s="13"/>
      <c r="I65" s="12">
        <v>0.20269999999999999</v>
      </c>
      <c r="J65" s="13">
        <v>443.3</v>
      </c>
      <c r="K65" s="13">
        <v>1</v>
      </c>
      <c r="L65" s="13">
        <f t="shared" si="3"/>
        <v>443.3</v>
      </c>
      <c r="M65" s="13">
        <f t="shared" si="4"/>
        <v>2186.9758263443514</v>
      </c>
      <c r="N65" s="14">
        <f t="shared" si="5"/>
        <v>2.1869758263443515</v>
      </c>
      <c r="O65" s="14">
        <v>12.9</v>
      </c>
      <c r="P65" s="13">
        <v>7</v>
      </c>
    </row>
    <row r="66" spans="1:16" x14ac:dyDescent="0.2">
      <c r="A66" s="12">
        <v>64</v>
      </c>
      <c r="B66" s="12">
        <v>1593</v>
      </c>
      <c r="C66" s="13"/>
      <c r="D66" s="12" t="s">
        <v>27</v>
      </c>
      <c r="E66" s="13"/>
      <c r="F66" s="13" t="s">
        <v>30</v>
      </c>
      <c r="G66" s="13" t="s">
        <v>37</v>
      </c>
      <c r="H66" s="13"/>
      <c r="I66" s="12">
        <v>0.26469999999999999</v>
      </c>
      <c r="J66" s="13">
        <v>92.8</v>
      </c>
      <c r="K66" s="13">
        <v>4</v>
      </c>
      <c r="L66" s="13">
        <f t="shared" ref="L66:L97" si="6">J66*K66</f>
        <v>371.2</v>
      </c>
      <c r="M66" s="13">
        <f t="shared" ref="M66:M97" si="7">L66/I66</f>
        <v>1402.3422742727616</v>
      </c>
      <c r="N66" s="14">
        <f t="shared" ref="N66:N97" si="8">M66/1000</f>
        <v>1.4023422742727616</v>
      </c>
      <c r="O66" s="14">
        <v>1.99</v>
      </c>
      <c r="P66" s="13" t="s">
        <v>73</v>
      </c>
    </row>
    <row r="67" spans="1:16" x14ac:dyDescent="0.2">
      <c r="A67" s="12">
        <v>64</v>
      </c>
      <c r="B67" s="12">
        <v>1593</v>
      </c>
      <c r="C67" s="13" t="s">
        <v>76</v>
      </c>
      <c r="D67" s="12" t="s">
        <v>27</v>
      </c>
      <c r="E67" s="13"/>
      <c r="F67" s="13" t="s">
        <v>30</v>
      </c>
      <c r="G67" s="13" t="s">
        <v>37</v>
      </c>
      <c r="H67" s="13"/>
      <c r="I67" s="12">
        <v>0.26469999999999999</v>
      </c>
      <c r="J67" s="13">
        <v>98.9</v>
      </c>
      <c r="K67" s="13">
        <v>4</v>
      </c>
      <c r="L67" s="13">
        <f t="shared" si="6"/>
        <v>395.6</v>
      </c>
      <c r="M67" s="13">
        <f t="shared" si="7"/>
        <v>1494.5221004911223</v>
      </c>
      <c r="N67" s="14">
        <f t="shared" si="8"/>
        <v>1.4945221004911222</v>
      </c>
      <c r="O67" s="14"/>
      <c r="P67" s="13">
        <v>4</v>
      </c>
    </row>
    <row r="68" spans="1:16" x14ac:dyDescent="0.2">
      <c r="A68" s="9">
        <v>65</v>
      </c>
      <c r="B68" s="10">
        <v>1723</v>
      </c>
      <c r="C68" s="10" t="s">
        <v>90</v>
      </c>
      <c r="D68" t="s">
        <v>27</v>
      </c>
      <c r="E68" s="10"/>
      <c r="F68" t="s">
        <v>104</v>
      </c>
      <c r="I68" s="47">
        <v>0.19170000000000001</v>
      </c>
      <c r="J68" s="46">
        <v>446.1</v>
      </c>
      <c r="K68" s="46">
        <v>2</v>
      </c>
      <c r="L68" s="46">
        <f t="shared" si="6"/>
        <v>892.2</v>
      </c>
      <c r="M68" s="46">
        <f t="shared" si="7"/>
        <v>4654.1471048513304</v>
      </c>
      <c r="N68" s="48">
        <f t="shared" si="8"/>
        <v>4.6541471048513303</v>
      </c>
      <c r="O68" s="48"/>
    </row>
    <row r="69" spans="1:16" x14ac:dyDescent="0.2">
      <c r="A69" s="9">
        <v>66</v>
      </c>
      <c r="B69" s="10">
        <v>1723</v>
      </c>
      <c r="C69" s="1" t="s">
        <v>81</v>
      </c>
      <c r="D69" t="s">
        <v>27</v>
      </c>
      <c r="E69" s="9"/>
      <c r="F69" t="s">
        <v>104</v>
      </c>
      <c r="I69" s="49">
        <v>0.16089999999999999</v>
      </c>
      <c r="J69" s="46">
        <v>81.599999999999994</v>
      </c>
      <c r="K69" s="46">
        <v>2</v>
      </c>
      <c r="L69" s="46">
        <f t="shared" si="6"/>
        <v>163.19999999999999</v>
      </c>
      <c r="M69" s="46">
        <f t="shared" si="7"/>
        <v>1014.294592914854</v>
      </c>
      <c r="N69" s="48">
        <f t="shared" si="8"/>
        <v>1.0142945929148539</v>
      </c>
      <c r="O69" s="48"/>
    </row>
    <row r="70" spans="1:16" x14ac:dyDescent="0.2">
      <c r="A70" s="9">
        <v>67</v>
      </c>
      <c r="B70" s="9">
        <v>1724</v>
      </c>
      <c r="C70" s="1" t="s">
        <v>82</v>
      </c>
      <c r="D70" s="9" t="s">
        <v>27</v>
      </c>
      <c r="E70" s="9"/>
      <c r="I70" s="49">
        <v>0.2099</v>
      </c>
      <c r="J70" s="49">
        <v>41.3</v>
      </c>
      <c r="K70" s="46">
        <v>2</v>
      </c>
      <c r="L70" s="46">
        <f t="shared" si="6"/>
        <v>82.6</v>
      </c>
      <c r="M70" s="46">
        <f t="shared" si="7"/>
        <v>393.52072415435919</v>
      </c>
      <c r="N70" s="48">
        <f t="shared" si="8"/>
        <v>0.39352072415435918</v>
      </c>
      <c r="O70" s="48"/>
    </row>
    <row r="71" spans="1:16" x14ac:dyDescent="0.2">
      <c r="A71" s="9">
        <v>68</v>
      </c>
      <c r="B71" s="9">
        <v>1724</v>
      </c>
      <c r="C71" s="1" t="s">
        <v>83</v>
      </c>
      <c r="D71" s="9" t="s">
        <v>27</v>
      </c>
      <c r="E71" s="9"/>
      <c r="I71" s="49">
        <v>0.1623</v>
      </c>
      <c r="J71" s="49">
        <v>38.1</v>
      </c>
      <c r="K71" s="46">
        <v>2</v>
      </c>
      <c r="L71" s="46">
        <f t="shared" si="6"/>
        <v>76.2</v>
      </c>
      <c r="M71" s="46">
        <f t="shared" si="7"/>
        <v>469.50092421441775</v>
      </c>
      <c r="N71" s="48">
        <f t="shared" si="8"/>
        <v>0.46950092421441775</v>
      </c>
      <c r="O71" s="48"/>
    </row>
    <row r="72" spans="1:16" x14ac:dyDescent="0.2">
      <c r="A72" s="9">
        <v>69</v>
      </c>
      <c r="B72" s="9">
        <v>1724</v>
      </c>
      <c r="C72" s="1" t="s">
        <v>84</v>
      </c>
      <c r="D72" s="9" t="s">
        <v>27</v>
      </c>
      <c r="E72" s="9"/>
      <c r="I72" s="49">
        <v>0.18959999999999999</v>
      </c>
      <c r="J72" s="50">
        <v>29.3</v>
      </c>
      <c r="K72" s="46">
        <v>2</v>
      </c>
      <c r="L72" s="46">
        <f t="shared" si="6"/>
        <v>58.6</v>
      </c>
      <c r="M72" s="46">
        <f t="shared" si="7"/>
        <v>309.07172995780593</v>
      </c>
      <c r="N72" s="48">
        <f t="shared" si="8"/>
        <v>0.30907172995780591</v>
      </c>
      <c r="O72" s="48"/>
    </row>
    <row r="73" spans="1:16" x14ac:dyDescent="0.2">
      <c r="A73" s="9">
        <v>70</v>
      </c>
      <c r="B73" s="9">
        <v>1714</v>
      </c>
      <c r="C73" s="1" t="s">
        <v>82</v>
      </c>
      <c r="D73" t="s">
        <v>27</v>
      </c>
      <c r="E73" s="9"/>
      <c r="F73" t="s">
        <v>104</v>
      </c>
      <c r="I73" s="49">
        <v>0.2127</v>
      </c>
      <c r="J73" s="46">
        <v>336.9</v>
      </c>
      <c r="K73" s="46">
        <v>2</v>
      </c>
      <c r="L73" s="46">
        <f t="shared" si="6"/>
        <v>673.8</v>
      </c>
      <c r="M73" s="46">
        <f t="shared" si="7"/>
        <v>3167.8420310296192</v>
      </c>
      <c r="N73" s="48">
        <f t="shared" si="8"/>
        <v>3.1678420310296191</v>
      </c>
      <c r="O73" s="48"/>
    </row>
    <row r="74" spans="1:16" x14ac:dyDescent="0.2">
      <c r="A74" s="9">
        <v>71</v>
      </c>
      <c r="B74" s="9">
        <v>1714</v>
      </c>
      <c r="C74" s="1" t="s">
        <v>83</v>
      </c>
      <c r="D74" t="s">
        <v>27</v>
      </c>
      <c r="E74" s="9"/>
      <c r="F74" t="s">
        <v>104</v>
      </c>
      <c r="I74" s="49">
        <v>0.15870000000000001</v>
      </c>
      <c r="J74" s="46">
        <v>24.3</v>
      </c>
      <c r="K74" s="46">
        <v>2</v>
      </c>
      <c r="L74" s="46">
        <f t="shared" si="6"/>
        <v>48.6</v>
      </c>
      <c r="M74" s="46">
        <f t="shared" si="7"/>
        <v>306.23818525519846</v>
      </c>
      <c r="N74" s="48">
        <f t="shared" si="8"/>
        <v>0.30623818525519847</v>
      </c>
      <c r="O74" s="48"/>
    </row>
    <row r="75" spans="1:16" x14ac:dyDescent="0.2">
      <c r="A75" s="9">
        <v>72</v>
      </c>
      <c r="B75" s="9">
        <v>1714</v>
      </c>
      <c r="C75" s="1" t="s">
        <v>85</v>
      </c>
      <c r="D75" t="s">
        <v>27</v>
      </c>
      <c r="E75" s="9"/>
      <c r="F75" t="s">
        <v>104</v>
      </c>
      <c r="I75" s="49">
        <v>0.19539999999999999</v>
      </c>
      <c r="J75" s="46">
        <v>37.200000000000003</v>
      </c>
      <c r="K75" s="46">
        <v>2</v>
      </c>
      <c r="L75" s="46">
        <f t="shared" si="6"/>
        <v>74.400000000000006</v>
      </c>
      <c r="M75" s="46">
        <f t="shared" si="7"/>
        <v>380.75742067553739</v>
      </c>
      <c r="N75" s="48">
        <f t="shared" si="8"/>
        <v>0.38075742067553742</v>
      </c>
      <c r="O75" s="48"/>
    </row>
    <row r="76" spans="1:16" x14ac:dyDescent="0.2">
      <c r="A76" s="9">
        <v>73</v>
      </c>
      <c r="B76" s="9">
        <v>190402</v>
      </c>
      <c r="C76" s="1" t="s">
        <v>86</v>
      </c>
      <c r="D76" t="s">
        <v>27</v>
      </c>
      <c r="E76" s="9"/>
      <c r="I76" s="49">
        <v>0.19120000000000001</v>
      </c>
      <c r="J76" s="46">
        <v>31.5</v>
      </c>
      <c r="K76" s="46">
        <v>2</v>
      </c>
      <c r="L76" s="46">
        <f t="shared" si="6"/>
        <v>63</v>
      </c>
      <c r="M76" s="46">
        <f t="shared" si="7"/>
        <v>329.49790794979077</v>
      </c>
      <c r="N76" s="48">
        <f t="shared" si="8"/>
        <v>0.32949790794979078</v>
      </c>
      <c r="O76" s="48"/>
    </row>
    <row r="77" spans="1:16" x14ac:dyDescent="0.2">
      <c r="A77" s="9">
        <v>74</v>
      </c>
      <c r="B77" s="9">
        <v>190402</v>
      </c>
      <c r="C77" s="1" t="s">
        <v>87</v>
      </c>
      <c r="D77" t="s">
        <v>27</v>
      </c>
      <c r="E77" s="9"/>
      <c r="I77" s="49">
        <v>0.1938</v>
      </c>
      <c r="J77" s="46">
        <v>49.8</v>
      </c>
      <c r="K77" s="46">
        <v>2</v>
      </c>
      <c r="L77" s="46">
        <f t="shared" si="6"/>
        <v>99.6</v>
      </c>
      <c r="M77" s="46">
        <f t="shared" si="7"/>
        <v>513.93188854489165</v>
      </c>
      <c r="N77" s="48">
        <f t="shared" si="8"/>
        <v>0.51393188854489169</v>
      </c>
      <c r="O77" s="48"/>
    </row>
    <row r="78" spans="1:16" x14ac:dyDescent="0.2">
      <c r="A78" s="9">
        <v>75</v>
      </c>
      <c r="B78" s="9">
        <v>190402</v>
      </c>
      <c r="C78" s="1" t="s">
        <v>88</v>
      </c>
      <c r="D78" t="s">
        <v>27</v>
      </c>
      <c r="E78" s="9"/>
      <c r="I78" s="49">
        <v>0.2135</v>
      </c>
      <c r="J78" s="51">
        <v>33.6</v>
      </c>
      <c r="K78" s="46">
        <v>2</v>
      </c>
      <c r="L78" s="46">
        <f t="shared" si="6"/>
        <v>67.2</v>
      </c>
      <c r="M78" s="46">
        <f t="shared" si="7"/>
        <v>314.75409836065575</v>
      </c>
      <c r="N78" s="48">
        <f t="shared" si="8"/>
        <v>0.31475409836065577</v>
      </c>
      <c r="O78" s="48"/>
    </row>
    <row r="79" spans="1:16" x14ac:dyDescent="0.2">
      <c r="A79" s="9">
        <v>76</v>
      </c>
      <c r="B79" s="9">
        <v>2019047</v>
      </c>
      <c r="C79" s="1" t="s">
        <v>86</v>
      </c>
      <c r="D79" t="s">
        <v>40</v>
      </c>
      <c r="E79" s="9"/>
      <c r="I79" s="49">
        <v>0.21490000000000001</v>
      </c>
      <c r="J79" s="46">
        <v>16.8</v>
      </c>
      <c r="K79" s="46">
        <v>2</v>
      </c>
      <c r="L79" s="46">
        <f t="shared" si="6"/>
        <v>33.6</v>
      </c>
      <c r="M79" s="46">
        <f t="shared" si="7"/>
        <v>156.35179153094464</v>
      </c>
      <c r="N79" s="48">
        <f t="shared" si="8"/>
        <v>0.15635179153094464</v>
      </c>
      <c r="O79" s="48"/>
    </row>
    <row r="80" spans="1:16" x14ac:dyDescent="0.2">
      <c r="A80" s="9">
        <v>77</v>
      </c>
      <c r="B80" s="9">
        <v>2019047</v>
      </c>
      <c r="C80" s="1" t="s">
        <v>81</v>
      </c>
      <c r="D80" t="s">
        <v>40</v>
      </c>
      <c r="E80" s="9"/>
      <c r="I80" s="49">
        <v>0.19439999999999999</v>
      </c>
      <c r="J80" s="46">
        <v>30.03</v>
      </c>
      <c r="K80" s="46">
        <v>1</v>
      </c>
      <c r="L80" s="46">
        <f t="shared" si="6"/>
        <v>30.03</v>
      </c>
      <c r="M80" s="46">
        <f t="shared" si="7"/>
        <v>154.47530864197532</v>
      </c>
      <c r="N80" s="48">
        <f t="shared" si="8"/>
        <v>0.15447530864197531</v>
      </c>
      <c r="O80" s="48"/>
      <c r="P80" t="s">
        <v>249</v>
      </c>
    </row>
    <row r="81" spans="1:16" x14ac:dyDescent="0.2">
      <c r="A81" s="9">
        <v>78</v>
      </c>
      <c r="B81" s="9">
        <v>2019047</v>
      </c>
      <c r="C81" s="1" t="s">
        <v>89</v>
      </c>
      <c r="D81" t="s">
        <v>40</v>
      </c>
      <c r="E81" s="9"/>
      <c r="I81" s="49">
        <v>0.23519999999999999</v>
      </c>
      <c r="J81" s="46">
        <v>87.6</v>
      </c>
      <c r="K81" s="46">
        <v>2</v>
      </c>
      <c r="L81" s="46">
        <f t="shared" si="6"/>
        <v>175.2</v>
      </c>
      <c r="M81" s="46">
        <f t="shared" si="7"/>
        <v>744.89795918367349</v>
      </c>
      <c r="N81" s="48">
        <f t="shared" si="8"/>
        <v>0.74489795918367352</v>
      </c>
      <c r="O81" s="48"/>
    </row>
    <row r="82" spans="1:16" x14ac:dyDescent="0.2">
      <c r="A82" s="9">
        <v>79</v>
      </c>
      <c r="B82" s="9">
        <v>1732</v>
      </c>
      <c r="C82" s="1" t="s">
        <v>90</v>
      </c>
      <c r="D82" t="s">
        <v>40</v>
      </c>
      <c r="E82" s="9"/>
      <c r="I82" s="49">
        <v>0.1459</v>
      </c>
      <c r="J82" s="46">
        <v>32.299999999999997</v>
      </c>
      <c r="K82" s="46">
        <v>2</v>
      </c>
      <c r="L82" s="46">
        <f t="shared" si="6"/>
        <v>64.599999999999994</v>
      </c>
      <c r="M82" s="46">
        <f t="shared" si="7"/>
        <v>442.76901987662779</v>
      </c>
      <c r="N82" s="48">
        <f t="shared" si="8"/>
        <v>0.44276901987662781</v>
      </c>
      <c r="O82" s="48"/>
    </row>
    <row r="83" spans="1:16" x14ac:dyDescent="0.2">
      <c r="A83" s="9">
        <v>80</v>
      </c>
      <c r="B83" s="9">
        <v>1732</v>
      </c>
      <c r="C83" s="1" t="s">
        <v>91</v>
      </c>
      <c r="D83" t="s">
        <v>40</v>
      </c>
      <c r="E83" s="9"/>
      <c r="I83" s="49">
        <v>0.125</v>
      </c>
      <c r="J83" s="46">
        <v>42.2</v>
      </c>
      <c r="K83" s="46">
        <v>2</v>
      </c>
      <c r="L83" s="46">
        <f t="shared" si="6"/>
        <v>84.4</v>
      </c>
      <c r="M83" s="46">
        <f t="shared" si="7"/>
        <v>675.2</v>
      </c>
      <c r="N83" s="48">
        <f t="shared" si="8"/>
        <v>0.67520000000000002</v>
      </c>
      <c r="O83" s="48"/>
    </row>
    <row r="84" spans="1:16" x14ac:dyDescent="0.2">
      <c r="A84" s="9">
        <v>81</v>
      </c>
      <c r="B84" s="9">
        <v>1732</v>
      </c>
      <c r="C84" s="1" t="s">
        <v>85</v>
      </c>
      <c r="D84" t="s">
        <v>40</v>
      </c>
      <c r="E84" s="9"/>
      <c r="I84" s="49">
        <v>0.17599999999999999</v>
      </c>
      <c r="J84" s="46">
        <v>19.399999999999999</v>
      </c>
      <c r="K84" s="46">
        <v>2</v>
      </c>
      <c r="L84" s="46">
        <f t="shared" si="6"/>
        <v>38.799999999999997</v>
      </c>
      <c r="M84" s="46">
        <f t="shared" si="7"/>
        <v>220.45454545454544</v>
      </c>
      <c r="N84" s="48">
        <f t="shared" si="8"/>
        <v>0.22045454545454543</v>
      </c>
      <c r="O84" s="48"/>
    </row>
    <row r="85" spans="1:16" x14ac:dyDescent="0.2">
      <c r="A85" s="9">
        <v>82</v>
      </c>
      <c r="B85" s="9">
        <v>1720</v>
      </c>
      <c r="C85" s="1" t="s">
        <v>90</v>
      </c>
      <c r="D85" t="s">
        <v>40</v>
      </c>
      <c r="E85" s="9"/>
      <c r="F85" t="s">
        <v>104</v>
      </c>
      <c r="I85" s="49">
        <v>0.1668</v>
      </c>
      <c r="J85" s="46">
        <v>300.3</v>
      </c>
      <c r="K85" s="46">
        <v>2</v>
      </c>
      <c r="L85" s="46">
        <f t="shared" si="6"/>
        <v>600.6</v>
      </c>
      <c r="M85" s="46">
        <f t="shared" si="7"/>
        <v>3600.7194244604316</v>
      </c>
      <c r="N85" s="48">
        <f t="shared" si="8"/>
        <v>3.6007194244604315</v>
      </c>
      <c r="O85" s="48"/>
    </row>
    <row r="86" spans="1:16" x14ac:dyDescent="0.2">
      <c r="A86" s="9">
        <v>83</v>
      </c>
      <c r="B86" s="9">
        <v>1720</v>
      </c>
      <c r="C86" s="1" t="s">
        <v>85</v>
      </c>
      <c r="D86" t="s">
        <v>40</v>
      </c>
      <c r="E86" s="9"/>
      <c r="F86" t="s">
        <v>104</v>
      </c>
      <c r="I86" s="49">
        <v>0.17230000000000001</v>
      </c>
      <c r="J86" s="46">
        <v>69.7</v>
      </c>
      <c r="K86" s="46">
        <v>2</v>
      </c>
      <c r="L86" s="46">
        <f t="shared" si="6"/>
        <v>139.4</v>
      </c>
      <c r="M86" s="46">
        <f t="shared" si="7"/>
        <v>809.05397562391181</v>
      </c>
      <c r="N86" s="48">
        <f t="shared" si="8"/>
        <v>0.80905397562391179</v>
      </c>
      <c r="O86" s="48"/>
    </row>
    <row r="87" spans="1:16" x14ac:dyDescent="0.2">
      <c r="A87" s="9">
        <v>84</v>
      </c>
      <c r="B87" s="9">
        <v>1712</v>
      </c>
      <c r="C87" s="1" t="s">
        <v>92</v>
      </c>
      <c r="D87" t="s">
        <v>40</v>
      </c>
      <c r="E87" s="9"/>
      <c r="F87" t="s">
        <v>34</v>
      </c>
      <c r="I87" s="49">
        <v>0.1653</v>
      </c>
      <c r="J87" s="46">
        <v>31.2</v>
      </c>
      <c r="K87" s="46">
        <v>1</v>
      </c>
      <c r="L87" s="46">
        <f t="shared" si="6"/>
        <v>31.2</v>
      </c>
      <c r="M87" s="46">
        <f t="shared" si="7"/>
        <v>188.74773139745915</v>
      </c>
      <c r="N87" s="48">
        <f t="shared" si="8"/>
        <v>0.18874773139745915</v>
      </c>
      <c r="O87" s="48">
        <v>4.9000000000000004</v>
      </c>
      <c r="P87">
        <v>7</v>
      </c>
    </row>
    <row r="88" spans="1:16" x14ac:dyDescent="0.2">
      <c r="A88" s="9">
        <v>85</v>
      </c>
      <c r="B88" s="9">
        <v>1712</v>
      </c>
      <c r="C88" s="1" t="s">
        <v>83</v>
      </c>
      <c r="D88" t="s">
        <v>40</v>
      </c>
      <c r="E88" s="9"/>
      <c r="F88" t="s">
        <v>34</v>
      </c>
      <c r="I88" s="49">
        <v>0.1333</v>
      </c>
      <c r="J88" s="46">
        <v>58.6</v>
      </c>
      <c r="K88" s="46">
        <v>2</v>
      </c>
      <c r="L88" s="46">
        <f t="shared" si="6"/>
        <v>117.2</v>
      </c>
      <c r="M88" s="46">
        <f t="shared" si="7"/>
        <v>879.21980495123785</v>
      </c>
      <c r="N88" s="48">
        <f t="shared" si="8"/>
        <v>0.87921980495123786</v>
      </c>
      <c r="O88" s="48"/>
    </row>
    <row r="89" spans="1:16" x14ac:dyDescent="0.2">
      <c r="A89" s="9">
        <v>86</v>
      </c>
      <c r="B89" s="9">
        <v>1712</v>
      </c>
      <c r="C89" s="1" t="s">
        <v>84</v>
      </c>
      <c r="D89" t="s">
        <v>40</v>
      </c>
      <c r="E89" s="9"/>
      <c r="F89" t="s">
        <v>34</v>
      </c>
      <c r="I89" s="49">
        <v>0.109</v>
      </c>
      <c r="J89" s="46">
        <v>38.200000000000003</v>
      </c>
      <c r="K89" s="46">
        <v>1</v>
      </c>
      <c r="L89" s="46">
        <f t="shared" si="6"/>
        <v>38.200000000000003</v>
      </c>
      <c r="M89" s="46">
        <f t="shared" si="7"/>
        <v>350.45871559633031</v>
      </c>
      <c r="N89" s="48">
        <f t="shared" si="8"/>
        <v>0.35045871559633029</v>
      </c>
      <c r="O89" s="48">
        <v>2.8</v>
      </c>
      <c r="P89">
        <v>7</v>
      </c>
    </row>
    <row r="90" spans="1:16" x14ac:dyDescent="0.2">
      <c r="A90" s="9">
        <v>87</v>
      </c>
      <c r="B90" s="9">
        <v>190430</v>
      </c>
      <c r="C90" s="1" t="s">
        <v>90</v>
      </c>
      <c r="D90" t="s">
        <v>27</v>
      </c>
      <c r="E90" s="9"/>
      <c r="I90" s="49">
        <v>0.104</v>
      </c>
      <c r="J90" s="46">
        <v>16.2</v>
      </c>
      <c r="K90" s="46">
        <v>1</v>
      </c>
      <c r="L90" s="46">
        <f t="shared" si="6"/>
        <v>16.2</v>
      </c>
      <c r="M90" s="46">
        <f t="shared" si="7"/>
        <v>155.76923076923077</v>
      </c>
      <c r="N90" s="48">
        <f t="shared" si="8"/>
        <v>0.15576923076923077</v>
      </c>
      <c r="O90" s="48"/>
      <c r="P90" t="s">
        <v>249</v>
      </c>
    </row>
    <row r="91" spans="1:16" x14ac:dyDescent="0.2">
      <c r="A91" s="9">
        <v>88</v>
      </c>
      <c r="B91" s="9">
        <v>190430</v>
      </c>
      <c r="C91" s="1" t="s">
        <v>91</v>
      </c>
      <c r="D91" t="s">
        <v>27</v>
      </c>
      <c r="E91" s="9"/>
      <c r="I91" s="49">
        <v>0.153</v>
      </c>
      <c r="J91" s="46">
        <v>21.7</v>
      </c>
      <c r="K91" s="46">
        <v>2</v>
      </c>
      <c r="L91" s="46">
        <f t="shared" si="6"/>
        <v>43.4</v>
      </c>
      <c r="M91" s="46">
        <f t="shared" si="7"/>
        <v>283.66013071895424</v>
      </c>
      <c r="N91" s="48">
        <f t="shared" si="8"/>
        <v>0.28366013071895424</v>
      </c>
      <c r="O91" s="48"/>
    </row>
    <row r="92" spans="1:16" x14ac:dyDescent="0.2">
      <c r="A92" s="9">
        <v>89</v>
      </c>
      <c r="B92" s="9">
        <v>190430</v>
      </c>
      <c r="C92" s="1" t="s">
        <v>85</v>
      </c>
      <c r="D92" t="s">
        <v>27</v>
      </c>
      <c r="E92" s="9"/>
      <c r="I92" s="49">
        <v>0.21249999999999999</v>
      </c>
      <c r="J92" s="46">
        <v>7.5</v>
      </c>
      <c r="K92" s="46">
        <v>2</v>
      </c>
      <c r="L92" s="46">
        <f t="shared" si="6"/>
        <v>15</v>
      </c>
      <c r="M92" s="46">
        <f t="shared" si="7"/>
        <v>70.588235294117652</v>
      </c>
      <c r="N92" s="48">
        <f t="shared" si="8"/>
        <v>7.0588235294117646E-2</v>
      </c>
      <c r="O92" s="48"/>
    </row>
    <row r="93" spans="1:16" x14ac:dyDescent="0.2">
      <c r="A93" s="9">
        <v>90</v>
      </c>
      <c r="B93" s="9">
        <v>1740</v>
      </c>
      <c r="C93" s="1" t="s">
        <v>90</v>
      </c>
      <c r="D93" t="s">
        <v>40</v>
      </c>
      <c r="E93" s="9"/>
      <c r="I93" s="49">
        <v>0.16919999999999999</v>
      </c>
      <c r="J93" s="46">
        <v>18.8</v>
      </c>
      <c r="K93" s="46">
        <v>2</v>
      </c>
      <c r="L93" s="46">
        <f t="shared" si="6"/>
        <v>37.6</v>
      </c>
      <c r="M93" s="46">
        <f t="shared" si="7"/>
        <v>222.22222222222226</v>
      </c>
      <c r="N93" s="48">
        <f t="shared" si="8"/>
        <v>0.22222222222222227</v>
      </c>
      <c r="O93" s="48"/>
    </row>
    <row r="94" spans="1:16" x14ac:dyDescent="0.2">
      <c r="A94" s="9">
        <v>91</v>
      </c>
      <c r="B94" s="9">
        <v>1740</v>
      </c>
      <c r="C94" s="1" t="s">
        <v>85</v>
      </c>
      <c r="D94" t="s">
        <v>40</v>
      </c>
      <c r="E94" s="9"/>
      <c r="I94" s="49">
        <v>0.12959999999999999</v>
      </c>
      <c r="J94" s="46">
        <v>17.899999999999999</v>
      </c>
      <c r="K94" s="46">
        <v>2</v>
      </c>
      <c r="L94" s="46">
        <f t="shared" si="6"/>
        <v>35.799999999999997</v>
      </c>
      <c r="M94" s="46">
        <f t="shared" si="7"/>
        <v>276.23456790123458</v>
      </c>
      <c r="N94" s="48">
        <f t="shared" si="8"/>
        <v>0.27623456790123457</v>
      </c>
      <c r="O94" s="48"/>
    </row>
    <row r="95" spans="1:16" x14ac:dyDescent="0.2">
      <c r="A95" s="9">
        <v>92</v>
      </c>
      <c r="B95" s="9">
        <v>2019017</v>
      </c>
      <c r="C95" s="1" t="s">
        <v>90</v>
      </c>
      <c r="D95" t="s">
        <v>27</v>
      </c>
      <c r="E95" s="9"/>
      <c r="I95" s="49">
        <v>0.17749999999999999</v>
      </c>
      <c r="J95" s="46">
        <v>263.5</v>
      </c>
      <c r="K95" s="46">
        <v>2</v>
      </c>
      <c r="L95" s="46">
        <f t="shared" si="6"/>
        <v>527</v>
      </c>
      <c r="M95" s="46">
        <f t="shared" si="7"/>
        <v>2969.0140845070423</v>
      </c>
      <c r="N95" s="48">
        <f t="shared" si="8"/>
        <v>2.9690140845070423</v>
      </c>
      <c r="O95" s="48"/>
    </row>
    <row r="96" spans="1:16" x14ac:dyDescent="0.2">
      <c r="A96" s="9">
        <v>93</v>
      </c>
      <c r="B96" s="9">
        <v>2019017</v>
      </c>
      <c r="C96" s="1" t="s">
        <v>91</v>
      </c>
      <c r="D96" t="s">
        <v>27</v>
      </c>
      <c r="E96" s="9"/>
      <c r="I96" s="49">
        <v>0.16189999999999999</v>
      </c>
      <c r="J96" s="46">
        <v>72.599999999999994</v>
      </c>
      <c r="K96" s="46">
        <v>2</v>
      </c>
      <c r="L96" s="46">
        <f t="shared" si="6"/>
        <v>145.19999999999999</v>
      </c>
      <c r="M96" s="46">
        <f t="shared" si="7"/>
        <v>896.8499073502162</v>
      </c>
      <c r="N96" s="48">
        <f t="shared" si="8"/>
        <v>0.89684990735021619</v>
      </c>
      <c r="O96" s="48"/>
    </row>
    <row r="97" spans="1:16" x14ac:dyDescent="0.2">
      <c r="A97" s="9">
        <v>94</v>
      </c>
      <c r="B97" s="9">
        <v>2019017</v>
      </c>
      <c r="C97" s="1" t="s">
        <v>85</v>
      </c>
      <c r="D97" t="s">
        <v>27</v>
      </c>
      <c r="E97" s="9"/>
      <c r="I97" s="49">
        <v>0.2296</v>
      </c>
      <c r="J97" s="46">
        <v>184.4</v>
      </c>
      <c r="K97" s="46">
        <v>2</v>
      </c>
      <c r="L97" s="46">
        <f t="shared" si="6"/>
        <v>368.8</v>
      </c>
      <c r="M97" s="46">
        <f t="shared" si="7"/>
        <v>1606.2717770034844</v>
      </c>
      <c r="N97" s="48">
        <f t="shared" si="8"/>
        <v>1.6062717770034844</v>
      </c>
      <c r="O97" s="48"/>
    </row>
    <row r="98" spans="1:16" x14ac:dyDescent="0.2">
      <c r="A98" s="9">
        <v>95</v>
      </c>
      <c r="B98" s="9">
        <v>190417</v>
      </c>
      <c r="C98" s="1" t="s">
        <v>90</v>
      </c>
      <c r="D98" t="s">
        <v>27</v>
      </c>
      <c r="E98" s="9"/>
      <c r="I98" s="49">
        <v>0.19769999999999999</v>
      </c>
      <c r="J98" s="46">
        <v>51.7</v>
      </c>
      <c r="K98" s="46">
        <v>2</v>
      </c>
      <c r="L98" s="46">
        <f t="shared" ref="L98:L126" si="9">J98*K98</f>
        <v>103.4</v>
      </c>
      <c r="M98" s="46">
        <f t="shared" ref="M98:M126" si="10">L98/I98</f>
        <v>523.0146686899343</v>
      </c>
      <c r="N98" s="48">
        <f t="shared" ref="N98:N126" si="11">M98/1000</f>
        <v>0.52301466868993429</v>
      </c>
      <c r="O98" s="48"/>
    </row>
    <row r="99" spans="1:16" x14ac:dyDescent="0.2">
      <c r="A99" s="9">
        <v>96</v>
      </c>
      <c r="B99" s="9">
        <v>190417</v>
      </c>
      <c r="C99" s="1" t="s">
        <v>91</v>
      </c>
      <c r="D99" t="s">
        <v>27</v>
      </c>
      <c r="E99" s="9"/>
      <c r="I99" s="49">
        <v>9.5699999999999993E-2</v>
      </c>
      <c r="J99" s="46">
        <v>71.8</v>
      </c>
      <c r="K99" s="46">
        <v>2</v>
      </c>
      <c r="L99" s="46">
        <f t="shared" si="9"/>
        <v>143.6</v>
      </c>
      <c r="M99" s="46">
        <f t="shared" si="10"/>
        <v>1500.5224660397075</v>
      </c>
      <c r="N99" s="48">
        <f t="shared" si="11"/>
        <v>1.5005224660397076</v>
      </c>
      <c r="O99" s="48"/>
    </row>
    <row r="100" spans="1:16" x14ac:dyDescent="0.2">
      <c r="A100" s="9">
        <v>97</v>
      </c>
      <c r="B100" s="9">
        <v>190417</v>
      </c>
      <c r="C100" s="1" t="s">
        <v>85</v>
      </c>
      <c r="D100" t="s">
        <v>27</v>
      </c>
      <c r="E100" s="9"/>
      <c r="I100" s="49">
        <v>0.10249999999999999</v>
      </c>
      <c r="J100" s="46">
        <v>34</v>
      </c>
      <c r="K100" s="46">
        <v>2</v>
      </c>
      <c r="L100" s="46">
        <f t="shared" si="9"/>
        <v>68</v>
      </c>
      <c r="M100" s="46">
        <f t="shared" si="10"/>
        <v>663.41463414634154</v>
      </c>
      <c r="N100" s="48">
        <f t="shared" si="11"/>
        <v>0.6634146341463415</v>
      </c>
      <c r="O100" s="48"/>
    </row>
    <row r="101" spans="1:16" x14ac:dyDescent="0.2">
      <c r="A101" s="9">
        <v>98</v>
      </c>
      <c r="B101" s="9">
        <v>1727</v>
      </c>
      <c r="C101" s="1" t="s">
        <v>90</v>
      </c>
      <c r="D101" t="s">
        <v>40</v>
      </c>
      <c r="E101" s="9"/>
      <c r="I101" s="49">
        <v>0.14829999999999999</v>
      </c>
      <c r="J101" s="46">
        <v>154.1</v>
      </c>
      <c r="K101" s="46">
        <v>2</v>
      </c>
      <c r="L101" s="46">
        <f t="shared" si="9"/>
        <v>308.2</v>
      </c>
      <c r="M101" s="46">
        <f t="shared" si="10"/>
        <v>2078.2198246797034</v>
      </c>
      <c r="N101" s="48">
        <f t="shared" si="11"/>
        <v>2.0782198246797035</v>
      </c>
      <c r="O101" s="48"/>
    </row>
    <row r="102" spans="1:16" x14ac:dyDescent="0.2">
      <c r="A102" s="9">
        <v>99</v>
      </c>
      <c r="B102" s="9">
        <v>1727</v>
      </c>
      <c r="C102" s="1" t="s">
        <v>91</v>
      </c>
      <c r="D102" t="s">
        <v>40</v>
      </c>
      <c r="E102" s="9"/>
      <c r="I102" s="49">
        <v>0.13650000000000001</v>
      </c>
      <c r="J102" s="46">
        <v>104.1</v>
      </c>
      <c r="K102" s="46">
        <v>2</v>
      </c>
      <c r="L102" s="46">
        <f t="shared" si="9"/>
        <v>208.2</v>
      </c>
      <c r="M102" s="46">
        <f t="shared" si="10"/>
        <v>1525.2747252747251</v>
      </c>
      <c r="N102" s="48">
        <f t="shared" si="11"/>
        <v>1.5252747252747252</v>
      </c>
      <c r="O102" s="48"/>
    </row>
    <row r="103" spans="1:16" x14ac:dyDescent="0.2">
      <c r="A103" s="9">
        <v>100</v>
      </c>
      <c r="B103" s="9">
        <v>1727</v>
      </c>
      <c r="C103" s="1" t="s">
        <v>85</v>
      </c>
      <c r="D103" t="s">
        <v>40</v>
      </c>
      <c r="E103" s="9"/>
      <c r="I103" s="49">
        <v>0.20780000000000001</v>
      </c>
      <c r="J103" s="46">
        <v>73</v>
      </c>
      <c r="K103" s="46">
        <v>2</v>
      </c>
      <c r="L103" s="46">
        <f t="shared" si="9"/>
        <v>146</v>
      </c>
      <c r="M103" s="46">
        <f t="shared" si="10"/>
        <v>702.59865255052932</v>
      </c>
      <c r="N103" s="48">
        <f t="shared" si="11"/>
        <v>0.70259865255052933</v>
      </c>
      <c r="O103" s="48"/>
    </row>
    <row r="104" spans="1:16" x14ac:dyDescent="0.2">
      <c r="A104" s="9">
        <v>101</v>
      </c>
      <c r="B104" t="s">
        <v>101</v>
      </c>
      <c r="C104" s="1" t="s">
        <v>90</v>
      </c>
      <c r="D104" s="9" t="s">
        <v>27</v>
      </c>
      <c r="E104" s="9"/>
      <c r="I104" s="49">
        <v>0.16889999999999999</v>
      </c>
      <c r="J104" s="49">
        <v>218.9</v>
      </c>
      <c r="K104" s="46">
        <v>2</v>
      </c>
      <c r="L104" s="46">
        <f t="shared" si="9"/>
        <v>437.8</v>
      </c>
      <c r="M104" s="46">
        <f t="shared" si="10"/>
        <v>2592.06631142688</v>
      </c>
      <c r="N104" s="48">
        <f t="shared" si="11"/>
        <v>2.5920663114268798</v>
      </c>
      <c r="O104" s="48"/>
    </row>
    <row r="105" spans="1:16" x14ac:dyDescent="0.2">
      <c r="A105" s="9">
        <v>102</v>
      </c>
      <c r="B105" t="s">
        <v>101</v>
      </c>
      <c r="C105" s="1" t="s">
        <v>91</v>
      </c>
      <c r="D105" s="9" t="s">
        <v>27</v>
      </c>
      <c r="E105" s="9"/>
      <c r="I105" s="9">
        <v>0.1062</v>
      </c>
      <c r="J105" s="9">
        <v>65.900000000000006</v>
      </c>
      <c r="K105" s="46">
        <v>1</v>
      </c>
      <c r="L105" s="46">
        <f t="shared" si="9"/>
        <v>65.900000000000006</v>
      </c>
      <c r="M105" s="46">
        <f t="shared" si="10"/>
        <v>620.52730696798494</v>
      </c>
      <c r="N105" s="48">
        <f t="shared" si="11"/>
        <v>0.62052730696798497</v>
      </c>
      <c r="O105" s="48">
        <v>0.46</v>
      </c>
      <c r="P105">
        <v>7</v>
      </c>
    </row>
    <row r="106" spans="1:16" x14ac:dyDescent="0.2">
      <c r="A106" s="9">
        <v>103</v>
      </c>
      <c r="B106" t="s">
        <v>101</v>
      </c>
      <c r="C106" s="1" t="s">
        <v>85</v>
      </c>
      <c r="D106" s="9" t="s">
        <v>27</v>
      </c>
      <c r="E106" s="9"/>
      <c r="I106" s="9">
        <v>0.13650000000000001</v>
      </c>
      <c r="J106" s="9">
        <v>35</v>
      </c>
      <c r="K106" s="46">
        <v>1</v>
      </c>
      <c r="L106" s="46">
        <f t="shared" si="9"/>
        <v>35</v>
      </c>
      <c r="M106" s="46">
        <f t="shared" si="10"/>
        <v>256.41025641025641</v>
      </c>
      <c r="N106" s="48">
        <f t="shared" si="11"/>
        <v>0.25641025641025639</v>
      </c>
      <c r="O106" s="48">
        <v>7.05</v>
      </c>
      <c r="P106">
        <v>7</v>
      </c>
    </row>
    <row r="107" spans="1:16" x14ac:dyDescent="0.2">
      <c r="A107" s="9">
        <v>104</v>
      </c>
      <c r="B107">
        <v>2018088</v>
      </c>
      <c r="C107" s="1" t="s">
        <v>93</v>
      </c>
      <c r="D107" s="9" t="s">
        <v>27</v>
      </c>
      <c r="E107" s="9"/>
      <c r="I107" s="9">
        <v>0.2467</v>
      </c>
      <c r="J107" s="9">
        <v>38.799999999999997</v>
      </c>
      <c r="K107" s="46">
        <v>1</v>
      </c>
      <c r="L107" s="46">
        <f t="shared" si="9"/>
        <v>38.799999999999997</v>
      </c>
      <c r="M107" s="46">
        <f t="shared" si="10"/>
        <v>157.27604377786784</v>
      </c>
      <c r="N107" s="48">
        <f t="shared" si="11"/>
        <v>0.15727604377786783</v>
      </c>
      <c r="O107" s="48">
        <v>0.47</v>
      </c>
      <c r="P107">
        <v>7</v>
      </c>
    </row>
    <row r="108" spans="1:16" x14ac:dyDescent="0.2">
      <c r="A108" s="9">
        <v>105</v>
      </c>
      <c r="B108">
        <v>2018088</v>
      </c>
      <c r="C108" s="1" t="s">
        <v>94</v>
      </c>
      <c r="D108" s="9" t="s">
        <v>27</v>
      </c>
      <c r="E108" s="9"/>
      <c r="I108" s="9">
        <v>0.18579999999999999</v>
      </c>
      <c r="J108" s="9">
        <v>39.01</v>
      </c>
      <c r="K108" s="46">
        <v>1</v>
      </c>
      <c r="L108" s="46">
        <f t="shared" si="9"/>
        <v>39.01</v>
      </c>
      <c r="M108" s="46">
        <f t="shared" si="10"/>
        <v>209.95694294940796</v>
      </c>
      <c r="N108" s="48">
        <f t="shared" si="11"/>
        <v>0.20995694294940795</v>
      </c>
      <c r="O108" s="48">
        <v>1.1200000000000001</v>
      </c>
      <c r="P108">
        <v>7</v>
      </c>
    </row>
    <row r="109" spans="1:16" x14ac:dyDescent="0.2">
      <c r="A109" s="9">
        <v>106</v>
      </c>
      <c r="B109">
        <v>2018088</v>
      </c>
      <c r="C109" s="1" t="s">
        <v>95</v>
      </c>
      <c r="D109" s="9" t="s">
        <v>27</v>
      </c>
      <c r="E109" s="9"/>
      <c r="I109" s="9">
        <v>0.20810000000000001</v>
      </c>
      <c r="J109" s="9">
        <v>24.7</v>
      </c>
      <c r="K109" s="46">
        <v>1</v>
      </c>
      <c r="L109" s="46">
        <f t="shared" si="9"/>
        <v>24.7</v>
      </c>
      <c r="M109" s="46">
        <f t="shared" si="10"/>
        <v>118.69293608841902</v>
      </c>
      <c r="N109" s="48">
        <f t="shared" si="11"/>
        <v>0.11869293608841902</v>
      </c>
      <c r="O109" s="48">
        <v>1.66</v>
      </c>
      <c r="P109">
        <v>7</v>
      </c>
    </row>
    <row r="110" spans="1:16" x14ac:dyDescent="0.2">
      <c r="A110" s="9">
        <v>107</v>
      </c>
      <c r="B110">
        <v>2018088</v>
      </c>
      <c r="C110" s="1" t="s">
        <v>96</v>
      </c>
      <c r="D110" s="9" t="s">
        <v>27</v>
      </c>
      <c r="E110" s="9"/>
      <c r="I110" s="9">
        <v>0.2838</v>
      </c>
      <c r="J110" s="9">
        <v>23.1</v>
      </c>
      <c r="K110">
        <v>1</v>
      </c>
      <c r="L110" s="46">
        <f t="shared" si="9"/>
        <v>23.1</v>
      </c>
      <c r="M110" s="46">
        <f t="shared" si="10"/>
        <v>81.395348837209312</v>
      </c>
      <c r="N110" s="48">
        <f t="shared" si="11"/>
        <v>8.1395348837209308E-2</v>
      </c>
      <c r="O110" s="48"/>
    </row>
    <row r="111" spans="1:16" x14ac:dyDescent="0.2">
      <c r="A111" s="9">
        <v>108</v>
      </c>
      <c r="B111">
        <v>2019198</v>
      </c>
      <c r="C111" s="1" t="s">
        <v>90</v>
      </c>
      <c r="D111" s="9" t="s">
        <v>40</v>
      </c>
      <c r="E111" s="9"/>
      <c r="I111" s="9">
        <v>0.20799999999999999</v>
      </c>
      <c r="J111" s="9">
        <v>36.03</v>
      </c>
      <c r="K111" s="46">
        <v>1</v>
      </c>
      <c r="L111" s="46">
        <f t="shared" si="9"/>
        <v>36.03</v>
      </c>
      <c r="M111" s="46">
        <f t="shared" si="10"/>
        <v>173.22115384615387</v>
      </c>
      <c r="N111" s="48">
        <f t="shared" si="11"/>
        <v>0.17322115384615386</v>
      </c>
      <c r="O111" s="48">
        <v>6.62</v>
      </c>
      <c r="P111">
        <v>7</v>
      </c>
    </row>
    <row r="112" spans="1:16" x14ac:dyDescent="0.2">
      <c r="A112" s="9">
        <v>109</v>
      </c>
      <c r="B112">
        <v>2019198</v>
      </c>
      <c r="C112" s="1" t="s">
        <v>85</v>
      </c>
      <c r="D112" s="9" t="s">
        <v>40</v>
      </c>
      <c r="E112" s="9"/>
      <c r="I112" s="9">
        <v>0.23980000000000001</v>
      </c>
      <c r="J112" s="9">
        <v>76.400000000000006</v>
      </c>
      <c r="K112" s="46">
        <v>1</v>
      </c>
      <c r="L112" s="46">
        <f t="shared" si="9"/>
        <v>76.400000000000006</v>
      </c>
      <c r="M112" s="46">
        <f t="shared" si="10"/>
        <v>318.59883236030026</v>
      </c>
      <c r="N112" s="48">
        <f t="shared" si="11"/>
        <v>0.31859883236030029</v>
      </c>
      <c r="O112" s="48">
        <v>0.91</v>
      </c>
      <c r="P112">
        <v>7</v>
      </c>
    </row>
    <row r="113" spans="1:16" x14ac:dyDescent="0.2">
      <c r="A113" s="9">
        <v>110</v>
      </c>
      <c r="B113">
        <v>2018158</v>
      </c>
      <c r="C113" s="1" t="s">
        <v>90</v>
      </c>
      <c r="D113" s="9" t="s">
        <v>27</v>
      </c>
      <c r="E113" s="9"/>
      <c r="I113" s="9">
        <v>0.14910000000000001</v>
      </c>
      <c r="J113" s="9">
        <v>43.3</v>
      </c>
      <c r="K113">
        <v>2</v>
      </c>
      <c r="L113" s="46">
        <f t="shared" si="9"/>
        <v>86.6</v>
      </c>
      <c r="M113" s="46">
        <f t="shared" si="10"/>
        <v>580.81824279007367</v>
      </c>
      <c r="N113" s="48">
        <f t="shared" si="11"/>
        <v>0.58081824279007366</v>
      </c>
      <c r="O113" s="48"/>
      <c r="P113" t="s">
        <v>250</v>
      </c>
    </row>
    <row r="114" spans="1:16" x14ac:dyDescent="0.2">
      <c r="A114" s="9">
        <v>111</v>
      </c>
      <c r="B114">
        <v>2018158</v>
      </c>
      <c r="C114" s="1" t="s">
        <v>85</v>
      </c>
      <c r="D114" s="9" t="s">
        <v>27</v>
      </c>
      <c r="E114" s="9"/>
      <c r="I114" s="9">
        <v>0.1171</v>
      </c>
      <c r="J114" s="9">
        <v>26.7</v>
      </c>
      <c r="K114" s="46">
        <v>1</v>
      </c>
      <c r="L114" s="46">
        <f t="shared" si="9"/>
        <v>26.7</v>
      </c>
      <c r="M114" s="46">
        <f t="shared" si="10"/>
        <v>228.01024765157985</v>
      </c>
      <c r="N114" s="48">
        <f t="shared" si="11"/>
        <v>0.22801024765157984</v>
      </c>
      <c r="O114" s="48">
        <v>7.69</v>
      </c>
      <c r="P114">
        <v>7</v>
      </c>
    </row>
    <row r="115" spans="1:16" x14ac:dyDescent="0.2">
      <c r="A115" s="9">
        <v>112</v>
      </c>
      <c r="B115">
        <v>2019031</v>
      </c>
      <c r="C115" s="1" t="s">
        <v>97</v>
      </c>
      <c r="D115" s="9" t="s">
        <v>27</v>
      </c>
      <c r="E115" s="9"/>
      <c r="I115" s="9">
        <v>0.19550000000000001</v>
      </c>
      <c r="J115" s="9">
        <v>77.599999999999994</v>
      </c>
      <c r="K115" s="46">
        <v>1</v>
      </c>
      <c r="L115" s="46">
        <f t="shared" si="9"/>
        <v>77.599999999999994</v>
      </c>
      <c r="M115" s="46">
        <f t="shared" si="10"/>
        <v>396.93094629156008</v>
      </c>
      <c r="N115" s="48">
        <f t="shared" si="11"/>
        <v>0.39693094629156006</v>
      </c>
      <c r="O115" s="48">
        <v>0.31</v>
      </c>
      <c r="P115">
        <v>7</v>
      </c>
    </row>
    <row r="116" spans="1:16" x14ac:dyDescent="0.2">
      <c r="A116" s="9">
        <v>113</v>
      </c>
      <c r="B116">
        <v>2019031</v>
      </c>
      <c r="C116" s="1" t="s">
        <v>98</v>
      </c>
      <c r="D116" s="9" t="s">
        <v>27</v>
      </c>
      <c r="E116" s="9"/>
      <c r="I116" s="9">
        <v>0.25140000000000001</v>
      </c>
      <c r="J116" s="9">
        <v>70.5</v>
      </c>
      <c r="K116" s="46">
        <v>1</v>
      </c>
      <c r="L116" s="46">
        <f t="shared" si="9"/>
        <v>70.5</v>
      </c>
      <c r="M116" s="46">
        <f t="shared" si="10"/>
        <v>280.42959427207637</v>
      </c>
      <c r="N116" s="48">
        <f t="shared" si="11"/>
        <v>0.28042959427207637</v>
      </c>
      <c r="O116" s="48">
        <v>7.8</v>
      </c>
      <c r="P116" s="94">
        <v>10</v>
      </c>
    </row>
    <row r="117" spans="1:16" x14ac:dyDescent="0.2">
      <c r="A117" s="9">
        <v>114</v>
      </c>
      <c r="B117">
        <v>2019031</v>
      </c>
      <c r="C117" s="1" t="s">
        <v>90</v>
      </c>
      <c r="D117" s="9" t="s">
        <v>27</v>
      </c>
      <c r="E117" s="9"/>
      <c r="I117" s="9">
        <v>0.1714</v>
      </c>
      <c r="J117" s="9">
        <v>96.05</v>
      </c>
      <c r="K117" s="46">
        <v>1</v>
      </c>
      <c r="L117" s="46">
        <f t="shared" si="9"/>
        <v>96.05</v>
      </c>
      <c r="M117" s="46">
        <f t="shared" si="10"/>
        <v>560.38506417736289</v>
      </c>
      <c r="N117" s="48">
        <f t="shared" si="11"/>
        <v>0.56038506417736289</v>
      </c>
      <c r="O117" s="48">
        <v>10.64</v>
      </c>
      <c r="P117">
        <v>7</v>
      </c>
    </row>
    <row r="118" spans="1:16" x14ac:dyDescent="0.2">
      <c r="A118" s="9">
        <v>115</v>
      </c>
      <c r="B118">
        <v>2019031</v>
      </c>
      <c r="C118" s="1" t="s">
        <v>85</v>
      </c>
      <c r="D118" s="9" t="s">
        <v>27</v>
      </c>
      <c r="E118" s="9"/>
      <c r="I118" s="9">
        <v>0.14610000000000001</v>
      </c>
      <c r="J118" s="9">
        <v>10.3</v>
      </c>
      <c r="K118">
        <v>2</v>
      </c>
      <c r="L118" s="46">
        <f t="shared" si="9"/>
        <v>20.6</v>
      </c>
      <c r="M118" s="46">
        <f t="shared" si="10"/>
        <v>140.99931553730323</v>
      </c>
      <c r="N118" s="48">
        <f t="shared" si="11"/>
        <v>0.14099931553730324</v>
      </c>
      <c r="O118" s="48"/>
      <c r="P118" t="s">
        <v>250</v>
      </c>
    </row>
    <row r="119" spans="1:16" x14ac:dyDescent="0.2">
      <c r="A119" s="9">
        <v>116</v>
      </c>
      <c r="B119">
        <v>2019100</v>
      </c>
      <c r="C119" s="1" t="s">
        <v>90</v>
      </c>
      <c r="D119" s="9" t="s">
        <v>40</v>
      </c>
      <c r="E119" s="9"/>
      <c r="I119" s="9">
        <v>0.2029</v>
      </c>
      <c r="J119" s="9">
        <v>92.4</v>
      </c>
      <c r="K119" s="46">
        <v>1</v>
      </c>
      <c r="L119" s="46">
        <f t="shared" si="9"/>
        <v>92.4</v>
      </c>
      <c r="M119" s="46">
        <f t="shared" si="10"/>
        <v>455.3967471660917</v>
      </c>
      <c r="N119" s="48">
        <f t="shared" si="11"/>
        <v>0.45539674716609169</v>
      </c>
      <c r="O119" s="48">
        <v>3.12</v>
      </c>
      <c r="P119">
        <v>7</v>
      </c>
    </row>
    <row r="120" spans="1:16" x14ac:dyDescent="0.2">
      <c r="A120" s="9">
        <v>117</v>
      </c>
      <c r="B120">
        <v>2019100</v>
      </c>
      <c r="C120" s="1" t="s">
        <v>91</v>
      </c>
      <c r="D120" s="9" t="s">
        <v>40</v>
      </c>
      <c r="E120" s="9"/>
      <c r="I120" s="9">
        <v>0.17419999999999999</v>
      </c>
      <c r="J120" s="9">
        <v>20.8</v>
      </c>
      <c r="K120">
        <v>2</v>
      </c>
      <c r="L120" s="46">
        <f t="shared" si="9"/>
        <v>41.6</v>
      </c>
      <c r="M120" s="46">
        <f t="shared" si="10"/>
        <v>238.80597014925374</v>
      </c>
      <c r="N120" s="48">
        <f t="shared" si="11"/>
        <v>0.23880597014925373</v>
      </c>
      <c r="O120" s="48"/>
      <c r="P120" t="s">
        <v>250</v>
      </c>
    </row>
    <row r="121" spans="1:16" x14ac:dyDescent="0.2">
      <c r="A121" s="9">
        <v>118</v>
      </c>
      <c r="B121">
        <v>2019100</v>
      </c>
      <c r="C121" s="1" t="s">
        <v>85</v>
      </c>
      <c r="D121" s="9" t="s">
        <v>40</v>
      </c>
      <c r="E121" s="9"/>
      <c r="I121" s="9">
        <v>0.30380000000000001</v>
      </c>
      <c r="J121" s="9">
        <v>247.98</v>
      </c>
      <c r="K121" s="46">
        <v>1</v>
      </c>
      <c r="L121" s="46">
        <f t="shared" si="9"/>
        <v>247.98</v>
      </c>
      <c r="M121" s="46">
        <f t="shared" si="10"/>
        <v>816.26069782751802</v>
      </c>
      <c r="N121" s="48">
        <f t="shared" si="11"/>
        <v>0.81626069782751798</v>
      </c>
      <c r="O121" s="48">
        <v>11.4</v>
      </c>
      <c r="P121">
        <v>7</v>
      </c>
    </row>
    <row r="122" spans="1:16" x14ac:dyDescent="0.2">
      <c r="A122" s="9">
        <v>119</v>
      </c>
      <c r="B122">
        <v>2019018</v>
      </c>
      <c r="C122" s="1" t="s">
        <v>90</v>
      </c>
      <c r="D122" t="s">
        <v>40</v>
      </c>
      <c r="E122" s="9"/>
      <c r="I122" s="9">
        <v>0.24590000000000001</v>
      </c>
      <c r="J122">
        <v>56.7</v>
      </c>
      <c r="K122">
        <v>2</v>
      </c>
      <c r="L122" s="46">
        <f t="shared" si="9"/>
        <v>113.4</v>
      </c>
      <c r="M122" s="46">
        <f t="shared" si="10"/>
        <v>461.16307442049617</v>
      </c>
      <c r="N122" s="48">
        <f t="shared" si="11"/>
        <v>0.4611630744204962</v>
      </c>
      <c r="O122" s="48"/>
      <c r="P122" t="s">
        <v>250</v>
      </c>
    </row>
    <row r="123" spans="1:16" x14ac:dyDescent="0.2">
      <c r="A123" s="9">
        <v>120</v>
      </c>
      <c r="B123">
        <v>2019018</v>
      </c>
      <c r="C123" s="1" t="s">
        <v>91</v>
      </c>
      <c r="D123" t="s">
        <v>40</v>
      </c>
      <c r="E123" s="9"/>
      <c r="I123" s="9">
        <v>0.32440000000000002</v>
      </c>
      <c r="J123" s="9">
        <v>605.6</v>
      </c>
      <c r="K123" s="46">
        <v>1</v>
      </c>
      <c r="L123" s="46">
        <f t="shared" si="9"/>
        <v>605.6</v>
      </c>
      <c r="M123" s="46">
        <f t="shared" si="10"/>
        <v>1866.8310727496917</v>
      </c>
      <c r="N123" s="48">
        <f t="shared" si="11"/>
        <v>1.8668310727496917</v>
      </c>
      <c r="O123" s="48">
        <v>0.63</v>
      </c>
      <c r="P123">
        <v>7</v>
      </c>
    </row>
    <row r="124" spans="1:16" x14ac:dyDescent="0.2">
      <c r="A124" s="9">
        <v>121</v>
      </c>
      <c r="B124">
        <v>2019018</v>
      </c>
      <c r="C124" s="1" t="s">
        <v>85</v>
      </c>
      <c r="D124" t="s">
        <v>40</v>
      </c>
      <c r="E124" s="9"/>
      <c r="I124" s="9">
        <v>0.1434</v>
      </c>
      <c r="J124" s="9">
        <v>166.83</v>
      </c>
      <c r="K124" s="46">
        <v>1</v>
      </c>
      <c r="L124" s="46">
        <f t="shared" si="9"/>
        <v>166.83</v>
      </c>
      <c r="M124" s="46">
        <f t="shared" si="10"/>
        <v>1163.3891213389122</v>
      </c>
      <c r="N124" s="48">
        <f t="shared" si="11"/>
        <v>1.1633891213389123</v>
      </c>
      <c r="O124" s="48">
        <v>3.3</v>
      </c>
      <c r="P124">
        <v>7</v>
      </c>
    </row>
    <row r="125" spans="1:16" x14ac:dyDescent="0.2">
      <c r="A125" s="9">
        <v>122</v>
      </c>
      <c r="B125">
        <v>2017109</v>
      </c>
      <c r="C125" s="1" t="s">
        <v>137</v>
      </c>
      <c r="D125" t="s">
        <v>27</v>
      </c>
      <c r="E125" s="9"/>
      <c r="I125" s="9">
        <v>0.14560000000000001</v>
      </c>
      <c r="J125">
        <v>8.3000000000000007</v>
      </c>
      <c r="K125">
        <v>2</v>
      </c>
      <c r="L125" s="46">
        <f t="shared" si="9"/>
        <v>16.600000000000001</v>
      </c>
      <c r="M125" s="46">
        <f t="shared" si="10"/>
        <v>114.01098901098902</v>
      </c>
      <c r="N125" s="48">
        <f t="shared" si="11"/>
        <v>0.11401098901098902</v>
      </c>
      <c r="O125" s="48"/>
      <c r="P125" t="s">
        <v>250</v>
      </c>
    </row>
    <row r="126" spans="1:16" x14ac:dyDescent="0.2">
      <c r="A126" s="9">
        <v>123</v>
      </c>
      <c r="B126">
        <v>2017109</v>
      </c>
      <c r="C126" s="1" t="s">
        <v>89</v>
      </c>
      <c r="D126" t="s">
        <v>27</v>
      </c>
      <c r="E126" s="9"/>
      <c r="I126" s="9">
        <v>0.20069999999999999</v>
      </c>
      <c r="J126" s="9">
        <v>29.5</v>
      </c>
      <c r="K126" s="46">
        <v>1</v>
      </c>
      <c r="L126" s="46">
        <f t="shared" si="9"/>
        <v>29.5</v>
      </c>
      <c r="M126" s="46">
        <f t="shared" si="10"/>
        <v>146.98555057299453</v>
      </c>
      <c r="N126" s="48">
        <f t="shared" si="11"/>
        <v>0.14698555057299453</v>
      </c>
      <c r="O126" s="48">
        <v>4.32</v>
      </c>
      <c r="P126">
        <v>7</v>
      </c>
    </row>
  </sheetData>
  <autoFilter ref="A1:MD126" xr:uid="{7051CC50-A1BE-5C4C-A40C-E6D9F704E1C5}"/>
  <phoneticPr fontId="6" type="noConversion"/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11BB-450E-D74A-A14E-52C50E1869A9}">
  <dimension ref="A1:Q40"/>
  <sheetViews>
    <sheetView topLeftCell="A8" workbookViewId="0">
      <selection activeCell="E1" sqref="E1:I1048576"/>
    </sheetView>
  </sheetViews>
  <sheetFormatPr baseColWidth="10" defaultRowHeight="16" x14ac:dyDescent="0.2"/>
  <cols>
    <col min="2" max="2" width="15.33203125" customWidth="1"/>
    <col min="5" max="9" width="0" hidden="1" customWidth="1"/>
  </cols>
  <sheetData>
    <row r="1" spans="1:11" x14ac:dyDescent="0.2">
      <c r="A1" t="s">
        <v>0</v>
      </c>
      <c r="B1" t="s">
        <v>1</v>
      </c>
      <c r="D1" s="1" t="s">
        <v>6</v>
      </c>
      <c r="E1" t="s">
        <v>2</v>
      </c>
      <c r="F1" t="s">
        <v>126</v>
      </c>
      <c r="G1" t="s">
        <v>125</v>
      </c>
      <c r="H1" t="s">
        <v>124</v>
      </c>
      <c r="I1" t="s">
        <v>123</v>
      </c>
      <c r="J1" t="s">
        <v>57</v>
      </c>
      <c r="K1" t="s">
        <v>122</v>
      </c>
    </row>
    <row r="2" spans="1:11" x14ac:dyDescent="0.2">
      <c r="A2">
        <v>4</v>
      </c>
      <c r="B2" t="s">
        <v>99</v>
      </c>
      <c r="C2">
        <v>1149</v>
      </c>
      <c r="D2" s="1" t="s">
        <v>7</v>
      </c>
      <c r="E2">
        <v>0.21290000000000001</v>
      </c>
      <c r="F2">
        <v>527.47</v>
      </c>
      <c r="G2">
        <v>2</v>
      </c>
      <c r="H2">
        <f t="shared" ref="H2:H32" si="0">F2*G2</f>
        <v>1054.94</v>
      </c>
      <c r="I2">
        <f t="shared" ref="I2:I32" si="1">H2/E2</f>
        <v>4955.0962893377173</v>
      </c>
      <c r="J2" s="11">
        <f t="shared" ref="J2:J32" si="2">I2/1000</f>
        <v>4.9550962893377175</v>
      </c>
      <c r="K2">
        <v>4</v>
      </c>
    </row>
    <row r="3" spans="1:11" x14ac:dyDescent="0.2">
      <c r="A3">
        <v>5</v>
      </c>
      <c r="B3" t="s">
        <v>99</v>
      </c>
      <c r="C3">
        <v>1149</v>
      </c>
      <c r="D3" s="1" t="s">
        <v>10</v>
      </c>
      <c r="E3">
        <v>0.22189999999999999</v>
      </c>
      <c r="F3">
        <v>114.7</v>
      </c>
      <c r="G3">
        <v>2</v>
      </c>
      <c r="H3">
        <f t="shared" si="0"/>
        <v>229.4</v>
      </c>
      <c r="I3">
        <f t="shared" si="1"/>
        <v>1033.7990085624156</v>
      </c>
      <c r="J3" s="11">
        <f t="shared" si="2"/>
        <v>1.0337990085624156</v>
      </c>
      <c r="K3">
        <v>4</v>
      </c>
    </row>
    <row r="4" spans="1:11" x14ac:dyDescent="0.2">
      <c r="A4" s="3">
        <v>6</v>
      </c>
      <c r="B4" t="s">
        <v>99</v>
      </c>
      <c r="C4">
        <v>1650</v>
      </c>
      <c r="D4" s="4" t="s">
        <v>7</v>
      </c>
      <c r="E4" s="3">
        <v>0.42520000000000002</v>
      </c>
      <c r="F4">
        <f>25/SQRT(2)</f>
        <v>17.677669529663685</v>
      </c>
      <c r="G4">
        <v>2</v>
      </c>
      <c r="H4">
        <f t="shared" si="0"/>
        <v>35.35533905932737</v>
      </c>
      <c r="I4">
        <f t="shared" si="1"/>
        <v>83.14990371431648</v>
      </c>
      <c r="J4" s="11">
        <f t="shared" si="2"/>
        <v>8.3149903714316478E-2</v>
      </c>
      <c r="K4">
        <v>4</v>
      </c>
    </row>
    <row r="5" spans="1:11" x14ac:dyDescent="0.2">
      <c r="A5" s="3">
        <v>7</v>
      </c>
      <c r="B5" t="s">
        <v>99</v>
      </c>
      <c r="C5">
        <v>1650</v>
      </c>
      <c r="D5" s="4" t="s">
        <v>11</v>
      </c>
      <c r="E5" s="3">
        <v>0.45519999999999999</v>
      </c>
      <c r="F5">
        <f>25/SQRT(2)</f>
        <v>17.677669529663685</v>
      </c>
      <c r="G5">
        <v>2</v>
      </c>
      <c r="H5">
        <f t="shared" si="0"/>
        <v>35.35533905932737</v>
      </c>
      <c r="I5">
        <f t="shared" si="1"/>
        <v>77.66990127268754</v>
      </c>
      <c r="J5" s="11">
        <f t="shared" si="2"/>
        <v>7.7669901272687539E-2</v>
      </c>
      <c r="K5">
        <v>4</v>
      </c>
    </row>
    <row r="6" spans="1:11" s="5" customFormat="1" x14ac:dyDescent="0.2">
      <c r="A6" s="5">
        <v>8</v>
      </c>
      <c r="B6" s="5" t="s">
        <v>99</v>
      </c>
      <c r="C6" s="5">
        <v>1278</v>
      </c>
      <c r="D6" s="6" t="s">
        <v>7</v>
      </c>
      <c r="E6" s="5">
        <v>0.20699999999999999</v>
      </c>
      <c r="F6" s="5">
        <v>206.78</v>
      </c>
      <c r="G6" s="5">
        <v>1</v>
      </c>
      <c r="H6" s="5">
        <f t="shared" si="0"/>
        <v>206.78</v>
      </c>
      <c r="I6" s="5">
        <f t="shared" si="1"/>
        <v>998.93719806763295</v>
      </c>
      <c r="J6" s="41">
        <f t="shared" si="2"/>
        <v>0.99893719806763293</v>
      </c>
      <c r="K6" s="5">
        <v>4</v>
      </c>
    </row>
    <row r="7" spans="1:11" s="5" customFormat="1" x14ac:dyDescent="0.2">
      <c r="A7" s="5">
        <v>9</v>
      </c>
      <c r="B7" s="5" t="s">
        <v>99</v>
      </c>
      <c r="C7" s="5">
        <v>1278</v>
      </c>
      <c r="D7" s="6" t="s">
        <v>8</v>
      </c>
      <c r="E7" s="5">
        <v>0.27310000000000001</v>
      </c>
      <c r="F7" s="5">
        <v>238.64</v>
      </c>
      <c r="G7" s="5">
        <v>1</v>
      </c>
      <c r="H7" s="5">
        <f t="shared" si="0"/>
        <v>238.64</v>
      </c>
      <c r="I7" s="5">
        <f t="shared" si="1"/>
        <v>873.81911387770037</v>
      </c>
      <c r="J7" s="41">
        <f t="shared" si="2"/>
        <v>0.87381911387770039</v>
      </c>
      <c r="K7" s="5">
        <v>4</v>
      </c>
    </row>
    <row r="8" spans="1:11" s="5" customFormat="1" x14ac:dyDescent="0.2">
      <c r="A8" s="5">
        <v>10</v>
      </c>
      <c r="B8" s="5" t="s">
        <v>99</v>
      </c>
      <c r="C8" s="5">
        <v>1278</v>
      </c>
      <c r="D8" s="6" t="s">
        <v>13</v>
      </c>
      <c r="E8" s="5">
        <v>0.32419999999999999</v>
      </c>
      <c r="F8" s="5">
        <v>195.84</v>
      </c>
      <c r="G8" s="5">
        <v>1</v>
      </c>
      <c r="H8" s="5">
        <f t="shared" si="0"/>
        <v>195.84</v>
      </c>
      <c r="I8" s="5">
        <f t="shared" si="1"/>
        <v>604.07156076495994</v>
      </c>
      <c r="J8" s="41">
        <f t="shared" si="2"/>
        <v>0.60407156076495994</v>
      </c>
      <c r="K8" s="5">
        <v>4</v>
      </c>
    </row>
    <row r="9" spans="1:11" s="5" customFormat="1" x14ac:dyDescent="0.2">
      <c r="A9" s="5">
        <v>8</v>
      </c>
      <c r="B9" s="5" t="s">
        <v>99</v>
      </c>
      <c r="C9" s="5">
        <v>1278</v>
      </c>
      <c r="D9" s="6" t="s">
        <v>7</v>
      </c>
      <c r="E9" s="5">
        <v>0.20699999999999999</v>
      </c>
      <c r="F9" s="5">
        <v>96.5</v>
      </c>
      <c r="G9" s="5">
        <v>2</v>
      </c>
      <c r="H9" s="5">
        <f t="shared" si="0"/>
        <v>193</v>
      </c>
      <c r="I9" s="5">
        <f t="shared" si="1"/>
        <v>932.36714975845416</v>
      </c>
      <c r="J9" s="41">
        <f t="shared" si="2"/>
        <v>0.93236714975845414</v>
      </c>
      <c r="K9" s="5">
        <v>5</v>
      </c>
    </row>
    <row r="10" spans="1:11" s="5" customFormat="1" x14ac:dyDescent="0.2">
      <c r="A10" s="5">
        <v>9</v>
      </c>
      <c r="B10" s="5" t="s">
        <v>99</v>
      </c>
      <c r="C10" s="5">
        <v>1278</v>
      </c>
      <c r="D10" s="6" t="s">
        <v>8</v>
      </c>
      <c r="E10" s="5">
        <v>0.27310000000000001</v>
      </c>
      <c r="F10" s="5">
        <v>80</v>
      </c>
      <c r="G10" s="5">
        <v>2</v>
      </c>
      <c r="H10" s="5">
        <f t="shared" si="0"/>
        <v>160</v>
      </c>
      <c r="I10" s="5">
        <f t="shared" si="1"/>
        <v>585.86598315635297</v>
      </c>
      <c r="J10" s="41">
        <f t="shared" si="2"/>
        <v>0.58586598315635297</v>
      </c>
      <c r="K10" s="5">
        <v>5</v>
      </c>
    </row>
    <row r="11" spans="1:11" s="5" customFormat="1" x14ac:dyDescent="0.2">
      <c r="A11" s="5">
        <v>10</v>
      </c>
      <c r="B11" s="5" t="s">
        <v>99</v>
      </c>
      <c r="C11" s="5">
        <v>1278</v>
      </c>
      <c r="D11" s="6" t="s">
        <v>13</v>
      </c>
      <c r="E11" s="5">
        <v>0.32419999999999999</v>
      </c>
      <c r="F11" s="5">
        <v>69.7</v>
      </c>
      <c r="G11" s="5">
        <v>2</v>
      </c>
      <c r="H11" s="5">
        <f t="shared" si="0"/>
        <v>139.4</v>
      </c>
      <c r="I11" s="5">
        <f t="shared" si="1"/>
        <v>429.98149290561383</v>
      </c>
      <c r="J11" s="41">
        <f t="shared" si="2"/>
        <v>0.42998149290561383</v>
      </c>
      <c r="K11" s="5">
        <v>5</v>
      </c>
    </row>
    <row r="12" spans="1:11" x14ac:dyDescent="0.2">
      <c r="A12">
        <v>16</v>
      </c>
      <c r="B12" t="s">
        <v>99</v>
      </c>
      <c r="C12">
        <v>1652</v>
      </c>
      <c r="D12" s="1" t="s">
        <v>7</v>
      </c>
      <c r="E12">
        <v>0.35799999999999998</v>
      </c>
      <c r="F12">
        <v>1521</v>
      </c>
      <c r="G12">
        <v>2</v>
      </c>
      <c r="H12">
        <f t="shared" si="0"/>
        <v>3042</v>
      </c>
      <c r="I12">
        <f t="shared" si="1"/>
        <v>8497.206703910615</v>
      </c>
      <c r="J12" s="11">
        <f t="shared" si="2"/>
        <v>8.4972067039106154</v>
      </c>
      <c r="K12">
        <v>5</v>
      </c>
    </row>
    <row r="13" spans="1:11" x14ac:dyDescent="0.2">
      <c r="A13">
        <v>17</v>
      </c>
      <c r="B13" t="s">
        <v>99</v>
      </c>
      <c r="C13">
        <v>1652</v>
      </c>
      <c r="D13" s="1" t="s">
        <v>8</v>
      </c>
      <c r="E13">
        <v>0.45610000000000001</v>
      </c>
      <c r="F13">
        <v>556.73</v>
      </c>
      <c r="G13">
        <v>2</v>
      </c>
      <c r="H13">
        <f t="shared" si="0"/>
        <v>1113.46</v>
      </c>
      <c r="I13">
        <f t="shared" si="1"/>
        <v>2441.2628809471607</v>
      </c>
      <c r="J13" s="11">
        <f t="shared" si="2"/>
        <v>2.4412628809471606</v>
      </c>
      <c r="K13">
        <v>4</v>
      </c>
    </row>
    <row r="14" spans="1:11" x14ac:dyDescent="0.2">
      <c r="A14">
        <v>18</v>
      </c>
      <c r="B14" t="s">
        <v>99</v>
      </c>
      <c r="C14">
        <v>1652</v>
      </c>
      <c r="D14" s="1" t="s">
        <v>12</v>
      </c>
      <c r="E14">
        <v>0.38479999999999998</v>
      </c>
      <c r="F14">
        <v>630.08000000000004</v>
      </c>
      <c r="G14">
        <v>2</v>
      </c>
      <c r="H14">
        <f t="shared" si="0"/>
        <v>1260.1600000000001</v>
      </c>
      <c r="I14">
        <f t="shared" si="1"/>
        <v>3274.8440748440753</v>
      </c>
      <c r="J14" s="11">
        <f t="shared" si="2"/>
        <v>3.2748440748440752</v>
      </c>
      <c r="K14">
        <v>4</v>
      </c>
    </row>
    <row r="15" spans="1:11" x14ac:dyDescent="0.2">
      <c r="A15">
        <v>26</v>
      </c>
      <c r="B15" t="s">
        <v>99</v>
      </c>
      <c r="C15">
        <v>1585</v>
      </c>
      <c r="D15" s="1" t="s">
        <v>7</v>
      </c>
      <c r="E15">
        <v>0.23</v>
      </c>
      <c r="F15">
        <v>1005.6</v>
      </c>
      <c r="G15">
        <v>2</v>
      </c>
      <c r="H15">
        <f t="shared" si="0"/>
        <v>2011.2</v>
      </c>
      <c r="I15">
        <f t="shared" si="1"/>
        <v>8744.347826086956</v>
      </c>
      <c r="J15" s="11">
        <f t="shared" si="2"/>
        <v>8.7443478260869565</v>
      </c>
      <c r="K15">
        <v>5</v>
      </c>
    </row>
    <row r="16" spans="1:11" x14ac:dyDescent="0.2">
      <c r="A16">
        <v>27</v>
      </c>
      <c r="B16" t="s">
        <v>99</v>
      </c>
      <c r="C16">
        <v>1585</v>
      </c>
      <c r="D16" s="1" t="s">
        <v>8</v>
      </c>
      <c r="E16">
        <v>0.22170000000000001</v>
      </c>
      <c r="F16">
        <v>509.58</v>
      </c>
      <c r="G16">
        <v>2</v>
      </c>
      <c r="H16">
        <f t="shared" si="0"/>
        <v>1019.16</v>
      </c>
      <c r="I16">
        <f t="shared" si="1"/>
        <v>4597.0230040595397</v>
      </c>
      <c r="J16" s="11">
        <f t="shared" si="2"/>
        <v>4.5970230040595395</v>
      </c>
      <c r="K16">
        <v>5</v>
      </c>
    </row>
    <row r="17" spans="1:17" x14ac:dyDescent="0.2">
      <c r="A17">
        <v>28</v>
      </c>
      <c r="B17" t="s">
        <v>99</v>
      </c>
      <c r="C17">
        <v>1585</v>
      </c>
      <c r="D17" s="1" t="s">
        <v>21</v>
      </c>
      <c r="E17">
        <v>0.29730000000000001</v>
      </c>
      <c r="F17">
        <v>390.98</v>
      </c>
      <c r="G17">
        <v>2</v>
      </c>
      <c r="H17">
        <f t="shared" si="0"/>
        <v>781.96</v>
      </c>
      <c r="I17">
        <f t="shared" si="1"/>
        <v>2630.2051799529095</v>
      </c>
      <c r="J17" s="11">
        <f t="shared" si="2"/>
        <v>2.6302051799529096</v>
      </c>
      <c r="K17">
        <v>5</v>
      </c>
    </row>
    <row r="18" spans="1:17" x14ac:dyDescent="0.2">
      <c r="A18" s="9">
        <v>67</v>
      </c>
      <c r="B18" s="9" t="s">
        <v>99</v>
      </c>
      <c r="C18" s="9">
        <v>1724</v>
      </c>
      <c r="D18" s="1" t="s">
        <v>82</v>
      </c>
      <c r="E18" s="9">
        <v>0.2099</v>
      </c>
      <c r="F18" s="9">
        <v>226.28</v>
      </c>
      <c r="G18">
        <v>2</v>
      </c>
      <c r="H18">
        <f t="shared" si="0"/>
        <v>452.56</v>
      </c>
      <c r="I18">
        <f t="shared" si="1"/>
        <v>2156.0743211052882</v>
      </c>
      <c r="J18" s="11">
        <f t="shared" si="2"/>
        <v>2.156074321105288</v>
      </c>
      <c r="K18">
        <v>5</v>
      </c>
      <c r="M18" s="9" t="s">
        <v>27</v>
      </c>
      <c r="O18" t="s">
        <v>34</v>
      </c>
      <c r="P18" t="s">
        <v>103</v>
      </c>
      <c r="Q18" t="s">
        <v>103</v>
      </c>
    </row>
    <row r="19" spans="1:17" x14ac:dyDescent="0.2">
      <c r="A19" s="9">
        <v>68</v>
      </c>
      <c r="B19" s="9" t="s">
        <v>99</v>
      </c>
      <c r="C19" s="9">
        <v>1724</v>
      </c>
      <c r="D19" s="1" t="s">
        <v>83</v>
      </c>
      <c r="E19" s="9">
        <v>0.1623</v>
      </c>
      <c r="F19" s="9">
        <v>249.71</v>
      </c>
      <c r="G19">
        <v>2</v>
      </c>
      <c r="H19">
        <f t="shared" si="0"/>
        <v>499.42</v>
      </c>
      <c r="I19">
        <f t="shared" si="1"/>
        <v>3077.1410967344423</v>
      </c>
      <c r="J19" s="11">
        <f t="shared" si="2"/>
        <v>3.0771410967344424</v>
      </c>
      <c r="K19">
        <v>5</v>
      </c>
      <c r="M19" s="9" t="s">
        <v>27</v>
      </c>
      <c r="O19" t="s">
        <v>34</v>
      </c>
      <c r="P19" t="s">
        <v>103</v>
      </c>
      <c r="Q19" t="s">
        <v>103</v>
      </c>
    </row>
    <row r="20" spans="1:17" x14ac:dyDescent="0.2">
      <c r="A20" s="9">
        <v>69</v>
      </c>
      <c r="B20" s="9" t="s">
        <v>99</v>
      </c>
      <c r="C20" s="9">
        <v>1724</v>
      </c>
      <c r="D20" s="1" t="s">
        <v>84</v>
      </c>
      <c r="E20" s="9">
        <v>0.18959999999999999</v>
      </c>
      <c r="F20" s="9">
        <v>108.11</v>
      </c>
      <c r="G20">
        <v>2</v>
      </c>
      <c r="H20">
        <f t="shared" si="0"/>
        <v>216.22</v>
      </c>
      <c r="I20">
        <f t="shared" si="1"/>
        <v>1140.4008438818566</v>
      </c>
      <c r="J20" s="11">
        <f t="shared" si="2"/>
        <v>1.1404008438818567</v>
      </c>
      <c r="K20">
        <v>5</v>
      </c>
      <c r="M20" s="9" t="s">
        <v>27</v>
      </c>
      <c r="O20" t="s">
        <v>34</v>
      </c>
      <c r="P20" t="s">
        <v>103</v>
      </c>
      <c r="Q20" t="s">
        <v>103</v>
      </c>
    </row>
    <row r="21" spans="1:17" x14ac:dyDescent="0.2">
      <c r="A21" s="9">
        <v>73</v>
      </c>
      <c r="B21" s="9" t="s">
        <v>70</v>
      </c>
      <c r="C21" s="9">
        <v>190402</v>
      </c>
      <c r="D21" s="1" t="s">
        <v>86</v>
      </c>
      <c r="E21" s="9">
        <v>0.19120000000000001</v>
      </c>
      <c r="F21" s="9">
        <v>512.34</v>
      </c>
      <c r="G21">
        <v>2</v>
      </c>
      <c r="H21">
        <f t="shared" si="0"/>
        <v>1024.68</v>
      </c>
      <c r="I21">
        <f t="shared" si="1"/>
        <v>5359.2050209205017</v>
      </c>
      <c r="J21" s="11">
        <f t="shared" si="2"/>
        <v>5.359205020920502</v>
      </c>
      <c r="K21">
        <v>5</v>
      </c>
      <c r="M21" t="s">
        <v>27</v>
      </c>
      <c r="O21" t="s">
        <v>34</v>
      </c>
      <c r="P21" t="s">
        <v>103</v>
      </c>
      <c r="Q21" t="s">
        <v>103</v>
      </c>
    </row>
    <row r="22" spans="1:17" x14ac:dyDescent="0.2">
      <c r="A22" s="9">
        <v>74</v>
      </c>
      <c r="B22" s="9" t="s">
        <v>70</v>
      </c>
      <c r="C22" s="9">
        <v>190402</v>
      </c>
      <c r="D22" s="1" t="s">
        <v>87</v>
      </c>
      <c r="E22" s="9">
        <v>0.1938</v>
      </c>
      <c r="F22" s="9">
        <v>153.74</v>
      </c>
      <c r="G22">
        <v>2</v>
      </c>
      <c r="H22">
        <f t="shared" si="0"/>
        <v>307.48</v>
      </c>
      <c r="I22">
        <f t="shared" si="1"/>
        <v>1586.5841073271415</v>
      </c>
      <c r="J22" s="11">
        <f t="shared" si="2"/>
        <v>1.5865841073271416</v>
      </c>
      <c r="K22">
        <v>5</v>
      </c>
      <c r="M22" t="s">
        <v>27</v>
      </c>
      <c r="O22" t="s">
        <v>34</v>
      </c>
      <c r="P22" t="s">
        <v>103</v>
      </c>
      <c r="Q22" t="s">
        <v>103</v>
      </c>
    </row>
    <row r="23" spans="1:17" x14ac:dyDescent="0.2">
      <c r="A23" s="9">
        <v>75</v>
      </c>
      <c r="B23" s="9" t="s">
        <v>70</v>
      </c>
      <c r="C23" s="9">
        <v>190402</v>
      </c>
      <c r="D23" s="1" t="s">
        <v>88</v>
      </c>
      <c r="E23" s="9">
        <v>0.2135</v>
      </c>
      <c r="F23" s="9">
        <v>123.71</v>
      </c>
      <c r="G23">
        <v>2</v>
      </c>
      <c r="H23">
        <f t="shared" si="0"/>
        <v>247.42</v>
      </c>
      <c r="I23">
        <f t="shared" si="1"/>
        <v>1158.8758782201405</v>
      </c>
      <c r="J23" s="11">
        <f t="shared" si="2"/>
        <v>1.1588758782201405</v>
      </c>
      <c r="K23">
        <v>5</v>
      </c>
      <c r="M23" t="s">
        <v>27</v>
      </c>
      <c r="O23" t="s">
        <v>34</v>
      </c>
      <c r="P23" t="s">
        <v>103</v>
      </c>
      <c r="Q23" t="s">
        <v>103</v>
      </c>
    </row>
    <row r="24" spans="1:17" x14ac:dyDescent="0.2">
      <c r="A24" s="9">
        <v>87</v>
      </c>
      <c r="B24" s="9" t="s">
        <v>70</v>
      </c>
      <c r="C24" s="9">
        <v>190430</v>
      </c>
      <c r="D24" s="1" t="s">
        <v>90</v>
      </c>
      <c r="E24" s="9">
        <v>0.104</v>
      </c>
      <c r="F24" s="9">
        <v>143.72999999999999</v>
      </c>
      <c r="G24">
        <v>2</v>
      </c>
      <c r="H24">
        <f t="shared" si="0"/>
        <v>287.45999999999998</v>
      </c>
      <c r="I24">
        <f t="shared" si="1"/>
        <v>2764.0384615384614</v>
      </c>
      <c r="J24" s="11">
        <f t="shared" si="2"/>
        <v>2.7640384615384614</v>
      </c>
      <c r="K24">
        <v>5</v>
      </c>
      <c r="M24" t="s">
        <v>27</v>
      </c>
      <c r="O24" t="s">
        <v>34</v>
      </c>
      <c r="P24" t="s">
        <v>103</v>
      </c>
      <c r="Q24" t="s">
        <v>103</v>
      </c>
    </row>
    <row r="25" spans="1:17" x14ac:dyDescent="0.2">
      <c r="A25" s="9">
        <v>88</v>
      </c>
      <c r="B25" s="9" t="s">
        <v>70</v>
      </c>
      <c r="C25" s="9">
        <v>190430</v>
      </c>
      <c r="D25" s="1" t="s">
        <v>91</v>
      </c>
      <c r="E25" s="9">
        <v>0.153</v>
      </c>
      <c r="F25" s="9">
        <v>72.58</v>
      </c>
      <c r="G25">
        <v>2</v>
      </c>
      <c r="H25">
        <f t="shared" si="0"/>
        <v>145.16</v>
      </c>
      <c r="I25">
        <f t="shared" si="1"/>
        <v>948.75816993464048</v>
      </c>
      <c r="J25" s="11">
        <f t="shared" si="2"/>
        <v>0.94875816993464046</v>
      </c>
      <c r="K25">
        <v>5</v>
      </c>
      <c r="M25" t="s">
        <v>27</v>
      </c>
      <c r="O25" t="s">
        <v>34</v>
      </c>
      <c r="P25" t="s">
        <v>103</v>
      </c>
      <c r="Q25" t="s">
        <v>103</v>
      </c>
    </row>
    <row r="26" spans="1:17" x14ac:dyDescent="0.2">
      <c r="A26" s="9">
        <v>89</v>
      </c>
      <c r="B26" s="9" t="s">
        <v>70</v>
      </c>
      <c r="C26" s="9">
        <v>190430</v>
      </c>
      <c r="D26" s="1" t="s">
        <v>85</v>
      </c>
      <c r="E26" s="9">
        <v>0.21249999999999999</v>
      </c>
      <c r="F26" s="9">
        <v>39.840000000000003</v>
      </c>
      <c r="G26">
        <v>2</v>
      </c>
      <c r="H26">
        <f t="shared" si="0"/>
        <v>79.680000000000007</v>
      </c>
      <c r="I26">
        <f t="shared" si="1"/>
        <v>374.96470588235297</v>
      </c>
      <c r="J26" s="11">
        <f t="shared" si="2"/>
        <v>0.37496470588235298</v>
      </c>
      <c r="K26">
        <v>5</v>
      </c>
      <c r="M26" t="s">
        <v>27</v>
      </c>
      <c r="O26" t="s">
        <v>34</v>
      </c>
      <c r="P26" t="s">
        <v>103</v>
      </c>
      <c r="Q26" t="s">
        <v>103</v>
      </c>
    </row>
    <row r="27" spans="1:17" x14ac:dyDescent="0.2">
      <c r="A27" s="9">
        <v>95</v>
      </c>
      <c r="B27" s="22" t="s">
        <v>70</v>
      </c>
      <c r="C27" s="9">
        <v>190417</v>
      </c>
      <c r="D27" s="1" t="s">
        <v>90</v>
      </c>
      <c r="E27" s="9">
        <v>0.19769999999999999</v>
      </c>
      <c r="F27" s="9">
        <v>1458</v>
      </c>
      <c r="G27">
        <v>2</v>
      </c>
      <c r="H27">
        <f t="shared" si="0"/>
        <v>2916</v>
      </c>
      <c r="I27">
        <f t="shared" si="1"/>
        <v>14749.620637329288</v>
      </c>
      <c r="J27" s="11">
        <f t="shared" si="2"/>
        <v>14.749620637329288</v>
      </c>
      <c r="K27">
        <v>5</v>
      </c>
      <c r="L27" t="s">
        <v>66</v>
      </c>
      <c r="M27" t="s">
        <v>27</v>
      </c>
      <c r="O27" t="s">
        <v>34</v>
      </c>
      <c r="P27" t="s">
        <v>103</v>
      </c>
      <c r="Q27" t="s">
        <v>103</v>
      </c>
    </row>
    <row r="28" spans="1:17" x14ac:dyDescent="0.2">
      <c r="A28" s="9">
        <v>96</v>
      </c>
      <c r="B28" s="22" t="s">
        <v>70</v>
      </c>
      <c r="C28" s="9">
        <v>190417</v>
      </c>
      <c r="D28" s="1" t="s">
        <v>91</v>
      </c>
      <c r="E28" s="9">
        <v>9.5699999999999993E-2</v>
      </c>
      <c r="F28">
        <v>349.97</v>
      </c>
      <c r="G28">
        <v>2</v>
      </c>
      <c r="H28">
        <f t="shared" si="0"/>
        <v>699.94</v>
      </c>
      <c r="I28">
        <f t="shared" si="1"/>
        <v>7313.8975966562184</v>
      </c>
      <c r="J28" s="11">
        <f t="shared" si="2"/>
        <v>7.3138975966562185</v>
      </c>
      <c r="K28">
        <v>5</v>
      </c>
      <c r="M28" t="s">
        <v>27</v>
      </c>
      <c r="O28" t="s">
        <v>34</v>
      </c>
      <c r="P28" t="s">
        <v>103</v>
      </c>
      <c r="Q28" t="s">
        <v>103</v>
      </c>
    </row>
    <row r="29" spans="1:17" x14ac:dyDescent="0.2">
      <c r="A29" s="9">
        <v>97</v>
      </c>
      <c r="B29" s="22" t="s">
        <v>70</v>
      </c>
      <c r="C29" s="9">
        <v>190417</v>
      </c>
      <c r="D29" s="1" t="s">
        <v>85</v>
      </c>
      <c r="E29" s="9">
        <v>0.10249999999999999</v>
      </c>
      <c r="F29" s="9">
        <v>135.1</v>
      </c>
      <c r="G29">
        <v>2</v>
      </c>
      <c r="H29">
        <f t="shared" si="0"/>
        <v>270.2</v>
      </c>
      <c r="I29">
        <f t="shared" si="1"/>
        <v>2636.0975609756097</v>
      </c>
      <c r="J29" s="11">
        <f t="shared" si="2"/>
        <v>2.6360975609756099</v>
      </c>
      <c r="K29">
        <v>5</v>
      </c>
      <c r="M29" t="s">
        <v>27</v>
      </c>
      <c r="O29" t="s">
        <v>34</v>
      </c>
      <c r="P29" t="s">
        <v>103</v>
      </c>
      <c r="Q29" t="s">
        <v>103</v>
      </c>
    </row>
    <row r="30" spans="1:17" x14ac:dyDescent="0.2">
      <c r="A30" s="9">
        <v>101</v>
      </c>
      <c r="B30" s="9" t="s">
        <v>99</v>
      </c>
      <c r="C30" t="s">
        <v>101</v>
      </c>
      <c r="D30" s="1" t="s">
        <v>90</v>
      </c>
      <c r="E30" s="9">
        <v>0.16889999999999999</v>
      </c>
      <c r="F30" s="9">
        <v>545.53</v>
      </c>
      <c r="G30">
        <v>2</v>
      </c>
      <c r="H30">
        <f t="shared" si="0"/>
        <v>1091.06</v>
      </c>
      <c r="I30">
        <f t="shared" si="1"/>
        <v>6459.7986974541145</v>
      </c>
      <c r="J30" s="11">
        <f t="shared" si="2"/>
        <v>6.4597986974541142</v>
      </c>
      <c r="K30">
        <v>5</v>
      </c>
      <c r="M30" s="9" t="s">
        <v>27</v>
      </c>
      <c r="O30" t="s">
        <v>34</v>
      </c>
      <c r="P30" t="s">
        <v>103</v>
      </c>
      <c r="Q30" t="s">
        <v>103</v>
      </c>
    </row>
    <row r="31" spans="1:17" x14ac:dyDescent="0.2">
      <c r="A31" s="9">
        <v>102</v>
      </c>
      <c r="B31" s="9" t="s">
        <v>99</v>
      </c>
      <c r="C31" t="s">
        <v>101</v>
      </c>
      <c r="D31" s="1" t="s">
        <v>91</v>
      </c>
      <c r="E31" s="9">
        <v>0.1062</v>
      </c>
      <c r="F31" s="9">
        <v>519.70000000000005</v>
      </c>
      <c r="G31">
        <v>2</v>
      </c>
      <c r="H31">
        <f t="shared" si="0"/>
        <v>1039.4000000000001</v>
      </c>
      <c r="I31">
        <f t="shared" si="1"/>
        <v>9787.1939736346521</v>
      </c>
      <c r="J31" s="11">
        <f t="shared" si="2"/>
        <v>9.7871939736346523</v>
      </c>
      <c r="K31">
        <v>5</v>
      </c>
      <c r="L31" t="s">
        <v>66</v>
      </c>
      <c r="M31" s="9" t="s">
        <v>27</v>
      </c>
      <c r="O31" t="s">
        <v>34</v>
      </c>
      <c r="P31" t="s">
        <v>103</v>
      </c>
      <c r="Q31" t="s">
        <v>103</v>
      </c>
    </row>
    <row r="32" spans="1:17" x14ac:dyDescent="0.2">
      <c r="A32" s="9">
        <v>103</v>
      </c>
      <c r="B32" s="9" t="s">
        <v>99</v>
      </c>
      <c r="C32" t="s">
        <v>101</v>
      </c>
      <c r="D32" s="1" t="s">
        <v>85</v>
      </c>
      <c r="E32" s="9">
        <v>0.13650000000000001</v>
      </c>
      <c r="F32" s="9">
        <v>186.76</v>
      </c>
      <c r="G32">
        <v>2</v>
      </c>
      <c r="H32">
        <f t="shared" si="0"/>
        <v>373.52</v>
      </c>
      <c r="I32">
        <f t="shared" si="1"/>
        <v>2736.4102564102559</v>
      </c>
      <c r="J32" s="11">
        <f t="shared" si="2"/>
        <v>2.7364102564102559</v>
      </c>
      <c r="K32">
        <v>5</v>
      </c>
      <c r="M32" s="9" t="s">
        <v>27</v>
      </c>
      <c r="O32" t="s">
        <v>34</v>
      </c>
      <c r="P32" t="s">
        <v>103</v>
      </c>
      <c r="Q32" t="s">
        <v>103</v>
      </c>
    </row>
    <row r="33" spans="1:17" x14ac:dyDescent="0.2">
      <c r="A33" s="9">
        <v>104</v>
      </c>
      <c r="B33" s="9" t="s">
        <v>102</v>
      </c>
      <c r="C33">
        <v>2018088</v>
      </c>
      <c r="D33" s="1" t="s">
        <v>93</v>
      </c>
      <c r="E33" s="9">
        <v>0.2467</v>
      </c>
      <c r="M33" s="9" t="s">
        <v>27</v>
      </c>
      <c r="O33" t="s">
        <v>34</v>
      </c>
      <c r="P33" t="s">
        <v>121</v>
      </c>
      <c r="Q33" t="s">
        <v>121</v>
      </c>
    </row>
    <row r="34" spans="1:17" x14ac:dyDescent="0.2">
      <c r="A34" s="9">
        <v>105</v>
      </c>
      <c r="B34" s="9" t="s">
        <v>102</v>
      </c>
      <c r="C34">
        <v>2018088</v>
      </c>
      <c r="D34" s="1" t="s">
        <v>94</v>
      </c>
      <c r="E34" s="9">
        <v>0.18579999999999999</v>
      </c>
      <c r="M34" s="9" t="s">
        <v>27</v>
      </c>
      <c r="O34" t="s">
        <v>34</v>
      </c>
      <c r="P34" t="s">
        <v>121</v>
      </c>
      <c r="Q34" t="s">
        <v>121</v>
      </c>
    </row>
    <row r="35" spans="1:17" x14ac:dyDescent="0.2">
      <c r="A35" s="9">
        <v>106</v>
      </c>
      <c r="B35" s="9" t="s">
        <v>102</v>
      </c>
      <c r="C35">
        <v>2018088</v>
      </c>
      <c r="D35" s="1" t="s">
        <v>95</v>
      </c>
      <c r="E35" s="9">
        <v>0.20810000000000001</v>
      </c>
      <c r="M35" s="9" t="s">
        <v>27</v>
      </c>
      <c r="O35" t="s">
        <v>34</v>
      </c>
      <c r="P35" t="s">
        <v>121</v>
      </c>
      <c r="Q35" t="s">
        <v>121</v>
      </c>
    </row>
    <row r="36" spans="1:17" x14ac:dyDescent="0.2">
      <c r="A36" s="9">
        <v>107</v>
      </c>
      <c r="B36" s="9" t="s">
        <v>102</v>
      </c>
      <c r="C36">
        <v>2018088</v>
      </c>
      <c r="D36" s="1" t="s">
        <v>96</v>
      </c>
      <c r="E36" s="9">
        <v>0.2838</v>
      </c>
      <c r="M36" s="9" t="s">
        <v>27</v>
      </c>
      <c r="O36" t="s">
        <v>34</v>
      </c>
      <c r="P36" t="s">
        <v>121</v>
      </c>
      <c r="Q36" t="s">
        <v>121</v>
      </c>
    </row>
    <row r="37" spans="1:17" x14ac:dyDescent="0.2">
      <c r="A37" s="9">
        <v>112</v>
      </c>
      <c r="B37" s="9" t="s">
        <v>102</v>
      </c>
      <c r="C37">
        <v>2019031</v>
      </c>
      <c r="D37" s="1" t="s">
        <v>97</v>
      </c>
      <c r="E37" s="9">
        <v>0.19550000000000001</v>
      </c>
      <c r="M37" s="9" t="s">
        <v>27</v>
      </c>
      <c r="O37" t="s">
        <v>34</v>
      </c>
      <c r="P37" t="s">
        <v>103</v>
      </c>
      <c r="Q37" t="s">
        <v>103</v>
      </c>
    </row>
    <row r="38" spans="1:17" x14ac:dyDescent="0.2">
      <c r="A38" s="9">
        <v>113</v>
      </c>
      <c r="B38" s="9" t="s">
        <v>102</v>
      </c>
      <c r="C38">
        <v>2019031</v>
      </c>
      <c r="D38" s="1" t="s">
        <v>98</v>
      </c>
      <c r="E38" s="9">
        <v>0.25140000000000001</v>
      </c>
      <c r="M38" s="9" t="s">
        <v>27</v>
      </c>
      <c r="O38" t="s">
        <v>34</v>
      </c>
      <c r="P38" t="s">
        <v>103</v>
      </c>
      <c r="Q38" t="s">
        <v>103</v>
      </c>
    </row>
    <row r="39" spans="1:17" x14ac:dyDescent="0.2">
      <c r="A39" s="9">
        <v>114</v>
      </c>
      <c r="B39" s="9" t="s">
        <v>102</v>
      </c>
      <c r="C39">
        <v>2019031</v>
      </c>
      <c r="D39" s="1" t="s">
        <v>90</v>
      </c>
      <c r="E39" s="9">
        <v>0.1714</v>
      </c>
      <c r="M39" s="9" t="s">
        <v>27</v>
      </c>
      <c r="O39" t="s">
        <v>34</v>
      </c>
      <c r="P39" t="s">
        <v>103</v>
      </c>
      <c r="Q39" t="s">
        <v>103</v>
      </c>
    </row>
    <row r="40" spans="1:17" x14ac:dyDescent="0.2">
      <c r="A40" s="9">
        <v>115</v>
      </c>
      <c r="B40" s="9" t="s">
        <v>102</v>
      </c>
      <c r="C40">
        <v>2019031</v>
      </c>
      <c r="D40" s="1" t="s">
        <v>85</v>
      </c>
      <c r="E40" s="9">
        <v>0.14610000000000001</v>
      </c>
      <c r="M40" s="9" t="s">
        <v>27</v>
      </c>
      <c r="O40" t="s">
        <v>34</v>
      </c>
      <c r="P40" t="s">
        <v>103</v>
      </c>
      <c r="Q40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6965-D3CA-3B42-8079-2D013EA60A2A}">
  <dimension ref="A1:O118"/>
  <sheetViews>
    <sheetView topLeftCell="A97" zoomScale="107" workbookViewId="0">
      <pane xSplit="1" topLeftCell="B1" activePane="topRight" state="frozen"/>
      <selection pane="topRight" activeCell="A117" sqref="A117:XFD117"/>
    </sheetView>
  </sheetViews>
  <sheetFormatPr baseColWidth="10" defaultRowHeight="16" x14ac:dyDescent="0.2"/>
  <cols>
    <col min="3" max="3" width="22.33203125" customWidth="1"/>
    <col min="4" max="4" width="22.33203125" style="1" customWidth="1"/>
    <col min="15" max="15" width="24.5" customWidth="1"/>
  </cols>
  <sheetData>
    <row r="1" spans="1:15" x14ac:dyDescent="0.2">
      <c r="A1" t="s">
        <v>0</v>
      </c>
      <c r="B1" t="s">
        <v>1</v>
      </c>
      <c r="C1" t="s">
        <v>1</v>
      </c>
      <c r="D1" s="1" t="s">
        <v>6</v>
      </c>
      <c r="E1" t="s">
        <v>2</v>
      </c>
      <c r="F1" t="s">
        <v>3</v>
      </c>
      <c r="G1" t="s">
        <v>127</v>
      </c>
      <c r="H1" t="s">
        <v>128</v>
      </c>
      <c r="I1" t="s">
        <v>131</v>
      </c>
      <c r="J1" t="s">
        <v>123</v>
      </c>
      <c r="K1" t="s">
        <v>57</v>
      </c>
      <c r="L1" t="s">
        <v>252</v>
      </c>
      <c r="M1" t="s">
        <v>254</v>
      </c>
    </row>
    <row r="2" spans="1:15" x14ac:dyDescent="0.2">
      <c r="A2" s="5">
        <v>1</v>
      </c>
      <c r="B2" s="5" t="s">
        <v>99</v>
      </c>
      <c r="C2" s="5">
        <v>1429</v>
      </c>
      <c r="D2" s="6" t="s">
        <v>7</v>
      </c>
      <c r="E2" s="5">
        <v>0.50780000000000003</v>
      </c>
      <c r="F2" s="5" t="s">
        <v>27</v>
      </c>
      <c r="M2" s="5"/>
      <c r="N2" s="5"/>
      <c r="O2" s="5"/>
    </row>
    <row r="3" spans="1:15" x14ac:dyDescent="0.2">
      <c r="A3">
        <v>2</v>
      </c>
      <c r="B3" s="5" t="s">
        <v>99</v>
      </c>
      <c r="C3">
        <v>1429</v>
      </c>
      <c r="D3" s="1" t="s">
        <v>8</v>
      </c>
      <c r="E3">
        <v>0.5746</v>
      </c>
      <c r="F3" t="s">
        <v>27</v>
      </c>
    </row>
    <row r="4" spans="1:15" x14ac:dyDescent="0.2">
      <c r="A4">
        <v>3</v>
      </c>
      <c r="B4" s="5" t="s">
        <v>99</v>
      </c>
      <c r="C4">
        <v>1429</v>
      </c>
      <c r="D4" s="1" t="s">
        <v>9</v>
      </c>
      <c r="E4">
        <v>0.35510000000000003</v>
      </c>
      <c r="F4" t="s">
        <v>27</v>
      </c>
    </row>
    <row r="5" spans="1:15" x14ac:dyDescent="0.2">
      <c r="A5" s="5">
        <v>4</v>
      </c>
      <c r="B5" s="5" t="s">
        <v>99</v>
      </c>
      <c r="C5" s="5">
        <v>1149</v>
      </c>
      <c r="D5" s="6" t="s">
        <v>7</v>
      </c>
      <c r="E5" s="5">
        <v>0.21290000000000001</v>
      </c>
      <c r="F5" s="5" t="s">
        <v>27</v>
      </c>
      <c r="M5" s="5"/>
      <c r="N5" s="5"/>
      <c r="O5" s="5"/>
    </row>
    <row r="6" spans="1:15" x14ac:dyDescent="0.2">
      <c r="A6">
        <v>5</v>
      </c>
      <c r="B6" s="5" t="s">
        <v>99</v>
      </c>
      <c r="C6">
        <v>1149</v>
      </c>
      <c r="D6" s="1" t="s">
        <v>10</v>
      </c>
      <c r="E6">
        <v>0.22189999999999999</v>
      </c>
      <c r="F6" t="s">
        <v>27</v>
      </c>
    </row>
    <row r="7" spans="1:15" x14ac:dyDescent="0.2">
      <c r="A7" s="5">
        <v>6</v>
      </c>
      <c r="B7" s="5" t="s">
        <v>99</v>
      </c>
      <c r="C7" s="5">
        <v>1650</v>
      </c>
      <c r="D7" s="6" t="s">
        <v>7</v>
      </c>
      <c r="E7" s="5">
        <v>0.42520000000000002</v>
      </c>
      <c r="F7" s="5" t="s">
        <v>27</v>
      </c>
      <c r="M7" s="5"/>
      <c r="N7" s="5"/>
      <c r="O7" s="5"/>
    </row>
    <row r="8" spans="1:15" x14ac:dyDescent="0.2">
      <c r="A8">
        <v>7</v>
      </c>
      <c r="B8" s="5" t="s">
        <v>99</v>
      </c>
      <c r="C8">
        <v>1650</v>
      </c>
      <c r="D8" s="1" t="s">
        <v>11</v>
      </c>
      <c r="E8">
        <v>0.45519999999999999</v>
      </c>
      <c r="F8" t="s">
        <v>27</v>
      </c>
    </row>
    <row r="9" spans="1:15" x14ac:dyDescent="0.2">
      <c r="A9" s="5">
        <v>8</v>
      </c>
      <c r="B9" s="5" t="s">
        <v>99</v>
      </c>
      <c r="C9" s="5">
        <v>1278</v>
      </c>
      <c r="D9" s="6" t="s">
        <v>7</v>
      </c>
      <c r="E9" s="5">
        <v>0.20699999999999999</v>
      </c>
      <c r="F9" s="5" t="s">
        <v>27</v>
      </c>
      <c r="M9" s="5"/>
      <c r="N9" s="5"/>
      <c r="O9" s="5"/>
    </row>
    <row r="10" spans="1:15" x14ac:dyDescent="0.2">
      <c r="A10">
        <v>9</v>
      </c>
      <c r="B10" s="5" t="s">
        <v>99</v>
      </c>
      <c r="C10">
        <v>1278</v>
      </c>
      <c r="D10" s="1" t="s">
        <v>8</v>
      </c>
      <c r="E10">
        <v>0.27310000000000001</v>
      </c>
      <c r="F10" t="s">
        <v>27</v>
      </c>
    </row>
    <row r="11" spans="1:15" x14ac:dyDescent="0.2">
      <c r="A11">
        <v>10</v>
      </c>
      <c r="B11" s="5" t="s">
        <v>99</v>
      </c>
      <c r="C11">
        <v>1278</v>
      </c>
      <c r="D11" s="1" t="s">
        <v>13</v>
      </c>
      <c r="E11">
        <v>0.32419999999999999</v>
      </c>
      <c r="F11" t="s">
        <v>27</v>
      </c>
    </row>
    <row r="12" spans="1:15" x14ac:dyDescent="0.2">
      <c r="A12" s="5">
        <v>11</v>
      </c>
      <c r="B12" s="5" t="s">
        <v>99</v>
      </c>
      <c r="C12" s="5">
        <v>1587</v>
      </c>
      <c r="D12" s="6" t="s">
        <v>7</v>
      </c>
      <c r="E12" s="5">
        <v>0.19500000000000001</v>
      </c>
      <c r="F12" s="5" t="s">
        <v>27</v>
      </c>
      <c r="M12" s="5"/>
      <c r="N12" s="5"/>
      <c r="O12" s="5"/>
    </row>
    <row r="13" spans="1:15" x14ac:dyDescent="0.2">
      <c r="A13">
        <v>12</v>
      </c>
      <c r="B13" s="5" t="s">
        <v>99</v>
      </c>
      <c r="C13">
        <v>1587</v>
      </c>
      <c r="D13" s="1" t="s">
        <v>8</v>
      </c>
      <c r="E13">
        <v>0.42770000000000002</v>
      </c>
      <c r="F13" t="s">
        <v>27</v>
      </c>
    </row>
    <row r="14" spans="1:15" x14ac:dyDescent="0.2">
      <c r="A14">
        <v>13</v>
      </c>
      <c r="B14" s="5" t="s">
        <v>99</v>
      </c>
      <c r="C14">
        <v>1587</v>
      </c>
      <c r="D14" s="1" t="s">
        <v>12</v>
      </c>
      <c r="E14">
        <v>0.40799999999999997</v>
      </c>
      <c r="F14" t="s">
        <v>27</v>
      </c>
    </row>
    <row r="15" spans="1:15" x14ac:dyDescent="0.2">
      <c r="A15" s="5">
        <v>14</v>
      </c>
      <c r="B15" s="5" t="s">
        <v>99</v>
      </c>
      <c r="C15" s="5">
        <v>1593</v>
      </c>
      <c r="D15" s="6" t="s">
        <v>15</v>
      </c>
      <c r="E15" s="5">
        <v>0.44119999999999998</v>
      </c>
      <c r="F15" s="5" t="s">
        <v>27</v>
      </c>
      <c r="M15" s="5"/>
      <c r="N15" s="5"/>
      <c r="O15" s="5"/>
    </row>
    <row r="16" spans="1:15" x14ac:dyDescent="0.2">
      <c r="A16">
        <v>15</v>
      </c>
      <c r="B16" s="5" t="s">
        <v>99</v>
      </c>
      <c r="C16">
        <v>1593</v>
      </c>
      <c r="D16" s="1" t="s">
        <v>14</v>
      </c>
      <c r="E16">
        <v>0.53600000000000003</v>
      </c>
      <c r="F16" t="s">
        <v>27</v>
      </c>
    </row>
    <row r="17" spans="1:15" x14ac:dyDescent="0.2">
      <c r="A17" s="5">
        <v>16</v>
      </c>
      <c r="B17" s="5" t="s">
        <v>99</v>
      </c>
      <c r="C17" s="5">
        <v>1652</v>
      </c>
      <c r="D17" s="6" t="s">
        <v>7</v>
      </c>
      <c r="E17" s="5">
        <v>0.35799999999999998</v>
      </c>
      <c r="F17" s="5" t="s">
        <v>27</v>
      </c>
      <c r="M17" s="5"/>
      <c r="N17" s="5"/>
      <c r="O17" s="5"/>
    </row>
    <row r="18" spans="1:15" x14ac:dyDescent="0.2">
      <c r="A18">
        <v>17</v>
      </c>
      <c r="B18" s="5" t="s">
        <v>99</v>
      </c>
      <c r="C18">
        <v>1652</v>
      </c>
      <c r="D18" s="1" t="s">
        <v>8</v>
      </c>
      <c r="E18">
        <v>0.45610000000000001</v>
      </c>
      <c r="F18" t="s">
        <v>27</v>
      </c>
    </row>
    <row r="19" spans="1:15" x14ac:dyDescent="0.2">
      <c r="A19">
        <v>18</v>
      </c>
      <c r="B19" s="5" t="s">
        <v>99</v>
      </c>
      <c r="C19">
        <v>1652</v>
      </c>
      <c r="D19" s="1" t="s">
        <v>12</v>
      </c>
      <c r="E19">
        <v>0.38479999999999998</v>
      </c>
      <c r="F19" t="s">
        <v>27</v>
      </c>
    </row>
    <row r="20" spans="1:15" x14ac:dyDescent="0.2">
      <c r="A20" s="5">
        <v>19</v>
      </c>
      <c r="B20" s="5" t="s">
        <v>70</v>
      </c>
      <c r="C20" s="5">
        <v>180413</v>
      </c>
      <c r="D20" s="6" t="s">
        <v>17</v>
      </c>
      <c r="E20" s="5">
        <v>0.27729999999999999</v>
      </c>
      <c r="F20" s="5" t="s">
        <v>40</v>
      </c>
      <c r="M20" s="5"/>
      <c r="N20" s="5"/>
      <c r="O20" s="5"/>
    </row>
    <row r="21" spans="1:15" x14ac:dyDescent="0.2">
      <c r="A21">
        <v>20</v>
      </c>
      <c r="B21" s="5" t="s">
        <v>70</v>
      </c>
      <c r="C21">
        <v>180413</v>
      </c>
      <c r="D21" s="1" t="s">
        <v>13</v>
      </c>
      <c r="E21">
        <v>0.25629999999999997</v>
      </c>
      <c r="F21" t="s">
        <v>40</v>
      </c>
    </row>
    <row r="22" spans="1:15" x14ac:dyDescent="0.2">
      <c r="A22" s="5">
        <v>21</v>
      </c>
      <c r="B22" s="5" t="s">
        <v>99</v>
      </c>
      <c r="C22" s="5">
        <v>1665</v>
      </c>
      <c r="D22" s="7" t="s">
        <v>7</v>
      </c>
      <c r="E22" s="5">
        <v>0.24590000000000001</v>
      </c>
      <c r="F22" s="5" t="s">
        <v>27</v>
      </c>
      <c r="M22" s="5"/>
      <c r="N22" s="5"/>
      <c r="O22" s="5"/>
    </row>
    <row r="23" spans="1:15" x14ac:dyDescent="0.2">
      <c r="A23">
        <v>22</v>
      </c>
      <c r="B23" s="5" t="s">
        <v>99</v>
      </c>
      <c r="C23">
        <v>1665</v>
      </c>
      <c r="D23" s="2" t="s">
        <v>8</v>
      </c>
      <c r="E23">
        <v>0.26050000000000001</v>
      </c>
      <c r="F23" t="s">
        <v>27</v>
      </c>
    </row>
    <row r="24" spans="1:15" x14ac:dyDescent="0.2">
      <c r="A24">
        <v>23</v>
      </c>
      <c r="B24" s="5" t="s">
        <v>99</v>
      </c>
      <c r="C24">
        <v>1665</v>
      </c>
      <c r="D24" s="2" t="s">
        <v>13</v>
      </c>
      <c r="E24">
        <v>0.29670000000000002</v>
      </c>
      <c r="F24" t="s">
        <v>27</v>
      </c>
    </row>
    <row r="25" spans="1:15" x14ac:dyDescent="0.2">
      <c r="A25" s="5">
        <v>24</v>
      </c>
      <c r="B25" s="5" t="s">
        <v>100</v>
      </c>
      <c r="C25" s="5">
        <v>2017030</v>
      </c>
      <c r="D25" s="6" t="s">
        <v>19</v>
      </c>
      <c r="E25" s="5">
        <v>0.22620000000000001</v>
      </c>
      <c r="F25" s="5" t="s">
        <v>40</v>
      </c>
      <c r="M25" s="5"/>
      <c r="N25" s="5"/>
      <c r="O25" s="5"/>
    </row>
    <row r="26" spans="1:15" x14ac:dyDescent="0.2">
      <c r="A26">
        <v>25</v>
      </c>
      <c r="B26" s="5" t="s">
        <v>100</v>
      </c>
      <c r="C26">
        <v>2017030</v>
      </c>
      <c r="D26" s="1" t="s">
        <v>20</v>
      </c>
      <c r="E26">
        <v>0.12939999999999999</v>
      </c>
      <c r="F26" t="s">
        <v>40</v>
      </c>
    </row>
    <row r="27" spans="1:15" x14ac:dyDescent="0.2">
      <c r="A27" s="5">
        <v>26</v>
      </c>
      <c r="B27" s="5" t="s">
        <v>99</v>
      </c>
      <c r="C27" s="5">
        <v>1585</v>
      </c>
      <c r="D27" s="6" t="s">
        <v>7</v>
      </c>
      <c r="E27" s="5">
        <v>0.23</v>
      </c>
      <c r="F27" s="5" t="s">
        <v>27</v>
      </c>
      <c r="M27" s="5"/>
      <c r="N27" s="5"/>
      <c r="O27" s="5"/>
    </row>
    <row r="28" spans="1:15" x14ac:dyDescent="0.2">
      <c r="A28">
        <v>27</v>
      </c>
      <c r="B28" s="5" t="s">
        <v>99</v>
      </c>
      <c r="C28">
        <v>1585</v>
      </c>
      <c r="D28" s="1" t="s">
        <v>8</v>
      </c>
      <c r="E28">
        <v>0.22170000000000001</v>
      </c>
      <c r="F28" t="s">
        <v>27</v>
      </c>
    </row>
    <row r="29" spans="1:15" x14ac:dyDescent="0.2">
      <c r="A29">
        <v>28</v>
      </c>
      <c r="B29" s="5" t="s">
        <v>99</v>
      </c>
      <c r="C29">
        <v>1585</v>
      </c>
      <c r="D29" s="1" t="s">
        <v>21</v>
      </c>
      <c r="E29">
        <v>0.29730000000000001</v>
      </c>
      <c r="F29" t="s">
        <v>27</v>
      </c>
    </row>
    <row r="30" spans="1:15" x14ac:dyDescent="0.2">
      <c r="A30" s="5">
        <v>29</v>
      </c>
      <c r="B30" s="5" t="s">
        <v>99</v>
      </c>
      <c r="C30" s="5">
        <v>1524</v>
      </c>
      <c r="D30" s="7" t="s">
        <v>7</v>
      </c>
      <c r="E30" s="5">
        <v>0.32600000000000001</v>
      </c>
      <c r="F30" s="5" t="s">
        <v>27</v>
      </c>
      <c r="M30" s="5"/>
      <c r="N30" s="5"/>
      <c r="O30" s="5"/>
    </row>
    <row r="31" spans="1:15" x14ac:dyDescent="0.2">
      <c r="A31">
        <v>30</v>
      </c>
      <c r="B31" s="5" t="s">
        <v>99</v>
      </c>
      <c r="C31">
        <v>1524</v>
      </c>
      <c r="D31" s="2" t="s">
        <v>8</v>
      </c>
      <c r="E31">
        <v>0.23130000000000001</v>
      </c>
      <c r="F31" t="s">
        <v>27</v>
      </c>
    </row>
    <row r="32" spans="1:15" x14ac:dyDescent="0.2">
      <c r="A32">
        <v>31</v>
      </c>
      <c r="B32" s="5" t="s">
        <v>99</v>
      </c>
      <c r="C32">
        <v>1524</v>
      </c>
      <c r="D32" s="2" t="s">
        <v>12</v>
      </c>
      <c r="E32">
        <v>0.2515</v>
      </c>
      <c r="F32" t="s">
        <v>27</v>
      </c>
    </row>
    <row r="33" spans="1:15" x14ac:dyDescent="0.2">
      <c r="A33" s="5">
        <v>32</v>
      </c>
      <c r="B33" s="5" t="s">
        <v>100</v>
      </c>
      <c r="C33" s="5">
        <v>2011090</v>
      </c>
      <c r="D33" s="6" t="s">
        <v>19</v>
      </c>
      <c r="E33" s="5">
        <v>0.3906</v>
      </c>
      <c r="F33" s="5" t="s">
        <v>40</v>
      </c>
      <c r="M33" s="5"/>
      <c r="N33" s="5"/>
      <c r="O33" s="5"/>
    </row>
    <row r="34" spans="1:15" x14ac:dyDescent="0.2">
      <c r="A34">
        <v>33</v>
      </c>
      <c r="B34" s="5" t="s">
        <v>100</v>
      </c>
      <c r="C34">
        <v>2011090</v>
      </c>
      <c r="D34" s="1" t="s">
        <v>11</v>
      </c>
      <c r="E34">
        <v>0.28029999999999999</v>
      </c>
      <c r="F34" t="s">
        <v>40</v>
      </c>
    </row>
    <row r="35" spans="1:15" x14ac:dyDescent="0.2">
      <c r="A35" s="5">
        <v>34</v>
      </c>
      <c r="B35" s="5" t="s">
        <v>99</v>
      </c>
      <c r="C35" s="5">
        <v>1035</v>
      </c>
      <c r="D35" s="7" t="s">
        <v>7</v>
      </c>
      <c r="E35" s="5">
        <v>0.183</v>
      </c>
      <c r="F35" s="5" t="s">
        <v>40</v>
      </c>
      <c r="M35" s="5"/>
      <c r="N35" s="5"/>
      <c r="O35" s="5"/>
    </row>
    <row r="36" spans="1:15" x14ac:dyDescent="0.2">
      <c r="A36">
        <v>35</v>
      </c>
      <c r="B36" s="5" t="s">
        <v>99</v>
      </c>
      <c r="C36">
        <v>1035</v>
      </c>
      <c r="D36" s="2" t="s">
        <v>8</v>
      </c>
      <c r="E36">
        <v>0.26419999999999999</v>
      </c>
      <c r="F36" t="s">
        <v>40</v>
      </c>
    </row>
    <row r="37" spans="1:15" x14ac:dyDescent="0.2">
      <c r="A37">
        <v>36</v>
      </c>
      <c r="B37" s="5" t="s">
        <v>99</v>
      </c>
      <c r="C37">
        <v>1035</v>
      </c>
      <c r="D37" s="2" t="s">
        <v>25</v>
      </c>
      <c r="E37">
        <v>0.18490000000000001</v>
      </c>
      <c r="F37" t="s">
        <v>40</v>
      </c>
    </row>
    <row r="38" spans="1:15" x14ac:dyDescent="0.2">
      <c r="A38" s="5">
        <v>37</v>
      </c>
      <c r="B38" s="5" t="s">
        <v>99</v>
      </c>
      <c r="C38" s="5">
        <v>1650</v>
      </c>
      <c r="D38" s="6" t="s">
        <v>19</v>
      </c>
      <c r="E38" s="5">
        <v>0.17979999999999999</v>
      </c>
      <c r="F38" s="5" t="s">
        <v>27</v>
      </c>
      <c r="M38" s="5"/>
      <c r="N38" s="5"/>
      <c r="O38" s="5"/>
    </row>
    <row r="39" spans="1:15" x14ac:dyDescent="0.2">
      <c r="A39">
        <v>38</v>
      </c>
      <c r="B39" s="5" t="s">
        <v>99</v>
      </c>
      <c r="C39">
        <v>1650</v>
      </c>
      <c r="D39" s="1" t="s">
        <v>26</v>
      </c>
      <c r="E39">
        <v>0.40079999999999999</v>
      </c>
      <c r="F39" t="s">
        <v>27</v>
      </c>
    </row>
    <row r="40" spans="1:15" x14ac:dyDescent="0.2">
      <c r="A40" s="27">
        <v>40</v>
      </c>
      <c r="B40" s="5" t="s">
        <v>99</v>
      </c>
      <c r="C40">
        <v>1149</v>
      </c>
      <c r="E40" s="27">
        <v>0.1072</v>
      </c>
      <c r="F40" s="27" t="s">
        <v>27</v>
      </c>
    </row>
    <row r="41" spans="1:15" x14ac:dyDescent="0.2">
      <c r="A41" s="27">
        <v>41</v>
      </c>
      <c r="B41" s="5" t="s">
        <v>99</v>
      </c>
      <c r="C41">
        <v>1665</v>
      </c>
      <c r="D41" s="1" t="s">
        <v>8</v>
      </c>
      <c r="E41" s="27">
        <v>0.1288</v>
      </c>
      <c r="F41" s="27" t="s">
        <v>27</v>
      </c>
    </row>
    <row r="42" spans="1:15" x14ac:dyDescent="0.2">
      <c r="A42" s="27">
        <v>42</v>
      </c>
      <c r="B42" s="5" t="s">
        <v>99</v>
      </c>
      <c r="C42">
        <v>1650</v>
      </c>
      <c r="D42" s="1" t="s">
        <v>26</v>
      </c>
      <c r="E42" s="27">
        <v>0.1353</v>
      </c>
      <c r="F42" s="27" t="s">
        <v>27</v>
      </c>
    </row>
    <row r="43" spans="1:15" x14ac:dyDescent="0.2">
      <c r="A43" s="27">
        <v>43</v>
      </c>
      <c r="B43" s="5" t="s">
        <v>99</v>
      </c>
      <c r="C43">
        <v>1035</v>
      </c>
      <c r="D43" s="1" t="s">
        <v>25</v>
      </c>
      <c r="E43" s="27">
        <v>0.1298</v>
      </c>
      <c r="F43" s="27" t="s">
        <v>40</v>
      </c>
    </row>
    <row r="44" spans="1:15" x14ac:dyDescent="0.2">
      <c r="A44" s="27">
        <v>44</v>
      </c>
      <c r="B44" s="5" t="s">
        <v>70</v>
      </c>
      <c r="C44" s="5">
        <v>180413</v>
      </c>
      <c r="E44" s="27">
        <v>9.2200000000000004E-2</v>
      </c>
      <c r="F44" s="27" t="s">
        <v>40</v>
      </c>
    </row>
    <row r="45" spans="1:15" x14ac:dyDescent="0.2">
      <c r="A45" s="27">
        <v>45</v>
      </c>
      <c r="B45" s="5" t="s">
        <v>100</v>
      </c>
      <c r="C45" s="5">
        <v>2011090</v>
      </c>
      <c r="E45" s="27">
        <v>0.1497</v>
      </c>
      <c r="F45" s="27" t="s">
        <v>40</v>
      </c>
    </row>
    <row r="46" spans="1:15" x14ac:dyDescent="0.2">
      <c r="A46" s="25">
        <v>51</v>
      </c>
      <c r="B46" s="5" t="s">
        <v>99</v>
      </c>
      <c r="C46" s="9">
        <v>1429</v>
      </c>
      <c r="D46"/>
      <c r="E46" s="25">
        <v>0.15770000000000001</v>
      </c>
      <c r="F46" s="25" t="s">
        <v>27</v>
      </c>
      <c r="G46">
        <v>1</v>
      </c>
      <c r="H46" s="25">
        <v>128.28</v>
      </c>
      <c r="I46">
        <f t="shared" ref="I46:I77" si="0">H46*G46</f>
        <v>128.28</v>
      </c>
      <c r="J46">
        <f t="shared" ref="J46:J77" si="1">I46/E46</f>
        <v>813.44324667089404</v>
      </c>
      <c r="K46" s="11">
        <f t="shared" ref="K46:K77" si="2">J46/1000</f>
        <v>0.81344324667089407</v>
      </c>
      <c r="L46" s="114" t="s">
        <v>258</v>
      </c>
      <c r="M46">
        <v>3</v>
      </c>
    </row>
    <row r="47" spans="1:15" x14ac:dyDescent="0.2">
      <c r="A47" s="25">
        <v>52</v>
      </c>
      <c r="B47" s="5" t="s">
        <v>99</v>
      </c>
      <c r="C47" s="9">
        <v>1587</v>
      </c>
      <c r="D47"/>
      <c r="E47" s="25">
        <v>0.22040000000000001</v>
      </c>
      <c r="F47" s="25" t="s">
        <v>27</v>
      </c>
      <c r="G47">
        <v>1</v>
      </c>
      <c r="H47" s="25">
        <v>90.69</v>
      </c>
      <c r="I47">
        <f t="shared" si="0"/>
        <v>90.69</v>
      </c>
      <c r="J47">
        <f t="shared" si="1"/>
        <v>411.4791288566243</v>
      </c>
      <c r="K47" s="11">
        <f t="shared" si="2"/>
        <v>0.4114791288566243</v>
      </c>
      <c r="L47" s="114" t="s">
        <v>258</v>
      </c>
      <c r="M47">
        <v>3.78</v>
      </c>
    </row>
    <row r="48" spans="1:15" x14ac:dyDescent="0.2">
      <c r="A48" s="25">
        <v>53</v>
      </c>
      <c r="B48" s="5" t="s">
        <v>99</v>
      </c>
      <c r="C48" s="9">
        <v>1650</v>
      </c>
      <c r="D48"/>
      <c r="E48" s="25">
        <v>0.22020000000000001</v>
      </c>
      <c r="F48" s="25" t="s">
        <v>27</v>
      </c>
      <c r="G48">
        <v>1</v>
      </c>
      <c r="H48" s="25">
        <v>18.73</v>
      </c>
      <c r="I48">
        <f t="shared" si="0"/>
        <v>18.73</v>
      </c>
      <c r="J48">
        <f t="shared" si="1"/>
        <v>85.059037238873756</v>
      </c>
      <c r="K48" s="11">
        <f t="shared" si="2"/>
        <v>8.5059037238873758E-2</v>
      </c>
      <c r="L48" s="114" t="s">
        <v>258</v>
      </c>
      <c r="M48">
        <v>2.4</v>
      </c>
    </row>
    <row r="49" spans="1:13" ht="17" customHeight="1" x14ac:dyDescent="0.2">
      <c r="A49" s="25">
        <v>54</v>
      </c>
      <c r="B49" s="5" t="s">
        <v>99</v>
      </c>
      <c r="C49" s="9">
        <v>1524</v>
      </c>
      <c r="D49"/>
      <c r="E49" s="25">
        <v>0.1754</v>
      </c>
      <c r="F49" s="25" t="s">
        <v>27</v>
      </c>
      <c r="G49">
        <v>1</v>
      </c>
      <c r="H49" s="25">
        <v>17.32</v>
      </c>
      <c r="I49">
        <f t="shared" si="0"/>
        <v>17.32</v>
      </c>
      <c r="J49">
        <f t="shared" si="1"/>
        <v>98.745724059293039</v>
      </c>
      <c r="K49" s="11">
        <f t="shared" si="2"/>
        <v>9.8745724059293036E-2</v>
      </c>
      <c r="L49" s="114" t="s">
        <v>258</v>
      </c>
      <c r="M49">
        <v>3.24</v>
      </c>
    </row>
    <row r="50" spans="1:13" x14ac:dyDescent="0.2">
      <c r="A50" s="25">
        <v>55</v>
      </c>
      <c r="B50" s="5" t="s">
        <v>99</v>
      </c>
      <c r="C50" s="9">
        <v>1665</v>
      </c>
      <c r="D50"/>
      <c r="E50" s="25">
        <v>0.13700000000000001</v>
      </c>
      <c r="F50" s="25" t="s">
        <v>27</v>
      </c>
      <c r="G50">
        <v>1</v>
      </c>
      <c r="H50" s="25">
        <v>97.9</v>
      </c>
      <c r="I50">
        <f t="shared" si="0"/>
        <v>97.9</v>
      </c>
      <c r="J50">
        <f t="shared" si="1"/>
        <v>714.59854014598534</v>
      </c>
      <c r="K50" s="11">
        <f t="shared" si="2"/>
        <v>0.71459854014598534</v>
      </c>
      <c r="L50" s="113" t="s">
        <v>255</v>
      </c>
      <c r="M50">
        <v>6.22</v>
      </c>
    </row>
    <row r="51" spans="1:13" x14ac:dyDescent="0.2">
      <c r="A51" s="25">
        <v>56</v>
      </c>
      <c r="B51" s="5" t="s">
        <v>99</v>
      </c>
      <c r="C51" s="9">
        <v>1149</v>
      </c>
      <c r="D51"/>
      <c r="E51" s="25">
        <v>0.19539999999999999</v>
      </c>
      <c r="F51" s="25" t="s">
        <v>27</v>
      </c>
      <c r="G51">
        <v>1</v>
      </c>
      <c r="H51" s="25">
        <v>48.33</v>
      </c>
      <c r="I51">
        <f t="shared" si="0"/>
        <v>48.33</v>
      </c>
      <c r="J51">
        <f t="shared" si="1"/>
        <v>247.33879222108496</v>
      </c>
      <c r="K51" s="11">
        <f t="shared" si="2"/>
        <v>0.24733879222108496</v>
      </c>
      <c r="L51" s="113" t="s">
        <v>255</v>
      </c>
      <c r="M51">
        <v>0.13</v>
      </c>
    </row>
    <row r="52" spans="1:13" x14ac:dyDescent="0.2">
      <c r="A52" s="25">
        <v>57</v>
      </c>
      <c r="B52" s="9" t="s">
        <v>70</v>
      </c>
      <c r="C52" s="9">
        <v>180413</v>
      </c>
      <c r="D52"/>
      <c r="E52" s="25">
        <v>0.193</v>
      </c>
      <c r="F52" s="25" t="s">
        <v>40</v>
      </c>
      <c r="G52">
        <v>1</v>
      </c>
      <c r="H52" s="25">
        <v>28.38</v>
      </c>
      <c r="I52">
        <f t="shared" si="0"/>
        <v>28.38</v>
      </c>
      <c r="J52">
        <f t="shared" si="1"/>
        <v>147.04663212435233</v>
      </c>
      <c r="K52">
        <f t="shared" si="2"/>
        <v>0.14704663212435232</v>
      </c>
      <c r="L52" s="94" t="s">
        <v>253</v>
      </c>
      <c r="M52">
        <v>3.6</v>
      </c>
    </row>
    <row r="53" spans="1:13" x14ac:dyDescent="0.2">
      <c r="A53" s="25">
        <v>58</v>
      </c>
      <c r="B53" s="9" t="s">
        <v>99</v>
      </c>
      <c r="C53" s="9">
        <v>1035</v>
      </c>
      <c r="D53"/>
      <c r="E53" s="25">
        <v>0.12720000000000001</v>
      </c>
      <c r="F53" s="25" t="s">
        <v>40</v>
      </c>
      <c r="G53">
        <v>1</v>
      </c>
      <c r="H53" s="25">
        <v>19</v>
      </c>
      <c r="I53">
        <f t="shared" si="0"/>
        <v>19</v>
      </c>
      <c r="J53">
        <f t="shared" si="1"/>
        <v>149.37106918238993</v>
      </c>
      <c r="K53">
        <f t="shared" si="2"/>
        <v>0.14937106918238993</v>
      </c>
      <c r="L53" s="94" t="s">
        <v>253</v>
      </c>
      <c r="M53">
        <v>5.5</v>
      </c>
    </row>
    <row r="54" spans="1:13" x14ac:dyDescent="0.2">
      <c r="A54" s="25">
        <v>59</v>
      </c>
      <c r="B54" s="9" t="s">
        <v>100</v>
      </c>
      <c r="C54" s="9">
        <v>201730</v>
      </c>
      <c r="D54"/>
      <c r="E54" s="25">
        <v>0.16059999999999999</v>
      </c>
      <c r="F54" s="25" t="s">
        <v>40</v>
      </c>
      <c r="G54">
        <v>1</v>
      </c>
      <c r="H54" s="25">
        <v>83.13</v>
      </c>
      <c r="I54">
        <f t="shared" si="0"/>
        <v>83.13</v>
      </c>
      <c r="J54">
        <f t="shared" si="1"/>
        <v>517.62141967621415</v>
      </c>
      <c r="K54">
        <f t="shared" si="2"/>
        <v>0.51762141967621411</v>
      </c>
      <c r="L54" s="94" t="s">
        <v>253</v>
      </c>
      <c r="M54">
        <v>1.8</v>
      </c>
    </row>
    <row r="55" spans="1:13" x14ac:dyDescent="0.2">
      <c r="A55" s="25">
        <v>60</v>
      </c>
      <c r="B55" s="9" t="s">
        <v>99</v>
      </c>
      <c r="C55" s="9">
        <v>1585</v>
      </c>
      <c r="D55"/>
      <c r="E55" s="25">
        <v>0.1043</v>
      </c>
      <c r="F55" s="25" t="s">
        <v>27</v>
      </c>
      <c r="G55">
        <v>1</v>
      </c>
      <c r="H55" s="25">
        <v>45.62</v>
      </c>
      <c r="I55">
        <f t="shared" si="0"/>
        <v>45.62</v>
      </c>
      <c r="J55">
        <f t="shared" si="1"/>
        <v>437.39213806327894</v>
      </c>
      <c r="K55" s="11">
        <f t="shared" si="2"/>
        <v>0.43739213806327892</v>
      </c>
      <c r="L55" s="113" t="s">
        <v>255</v>
      </c>
      <c r="M55">
        <v>2.21</v>
      </c>
    </row>
    <row r="56" spans="1:13" x14ac:dyDescent="0.2">
      <c r="A56" s="25">
        <v>61</v>
      </c>
      <c r="B56" s="9" t="s">
        <v>99</v>
      </c>
      <c r="C56" s="9">
        <v>1652</v>
      </c>
      <c r="D56"/>
      <c r="E56" s="25">
        <v>0.14219999999999999</v>
      </c>
      <c r="F56" s="25" t="s">
        <v>27</v>
      </c>
      <c r="G56">
        <v>1</v>
      </c>
      <c r="H56" s="25">
        <v>2054.6</v>
      </c>
      <c r="I56">
        <f t="shared" si="0"/>
        <v>2054.6</v>
      </c>
      <c r="J56">
        <f t="shared" si="1"/>
        <v>14448.663853727145</v>
      </c>
      <c r="K56" s="11">
        <f t="shared" si="2"/>
        <v>14.448663853727144</v>
      </c>
      <c r="L56" s="113" t="s">
        <v>255</v>
      </c>
      <c r="M56">
        <v>4.53</v>
      </c>
    </row>
    <row r="57" spans="1:13" x14ac:dyDescent="0.2">
      <c r="A57" s="25">
        <v>62</v>
      </c>
      <c r="B57" s="9" t="s">
        <v>99</v>
      </c>
      <c r="C57" s="9">
        <v>1278</v>
      </c>
      <c r="D57"/>
      <c r="E57" s="25">
        <v>0.14019999999999999</v>
      </c>
      <c r="F57" s="25" t="s">
        <v>27</v>
      </c>
      <c r="G57">
        <v>1</v>
      </c>
      <c r="H57" s="25">
        <v>41.32</v>
      </c>
      <c r="I57">
        <f t="shared" si="0"/>
        <v>41.32</v>
      </c>
      <c r="J57">
        <f t="shared" si="1"/>
        <v>294.72182596291015</v>
      </c>
      <c r="K57" s="11">
        <f t="shared" si="2"/>
        <v>0.29472182596291013</v>
      </c>
      <c r="L57" s="113" t="s">
        <v>255</v>
      </c>
      <c r="M57">
        <v>1.06</v>
      </c>
    </row>
    <row r="58" spans="1:13" x14ac:dyDescent="0.2">
      <c r="A58" s="25">
        <v>63</v>
      </c>
      <c r="B58" s="9" t="s">
        <v>100</v>
      </c>
      <c r="C58" s="9">
        <v>2011090</v>
      </c>
      <c r="D58"/>
      <c r="E58" s="25">
        <v>0.20269999999999999</v>
      </c>
      <c r="F58" s="25" t="s">
        <v>40</v>
      </c>
      <c r="G58">
        <v>1</v>
      </c>
      <c r="I58">
        <f t="shared" si="0"/>
        <v>0</v>
      </c>
      <c r="J58">
        <f t="shared" si="1"/>
        <v>0</v>
      </c>
      <c r="K58">
        <f t="shared" si="2"/>
        <v>0</v>
      </c>
      <c r="L58" s="94" t="s">
        <v>253</v>
      </c>
    </row>
    <row r="59" spans="1:13" x14ac:dyDescent="0.2">
      <c r="A59" s="25">
        <v>64</v>
      </c>
      <c r="B59" s="9" t="s">
        <v>99</v>
      </c>
      <c r="C59" s="9">
        <v>1593</v>
      </c>
      <c r="D59"/>
      <c r="E59" s="25">
        <v>0.26469999999999999</v>
      </c>
      <c r="F59" s="25" t="s">
        <v>27</v>
      </c>
      <c r="G59">
        <v>1</v>
      </c>
      <c r="H59" s="25">
        <v>161.25</v>
      </c>
      <c r="I59">
        <f t="shared" si="0"/>
        <v>161.25</v>
      </c>
      <c r="J59">
        <f t="shared" si="1"/>
        <v>609.18020400453349</v>
      </c>
      <c r="K59" s="11">
        <f t="shared" si="2"/>
        <v>0.60918020400453354</v>
      </c>
      <c r="L59" s="113" t="s">
        <v>255</v>
      </c>
      <c r="M59">
        <v>3.02</v>
      </c>
    </row>
    <row r="60" spans="1:13" x14ac:dyDescent="0.2">
      <c r="A60" s="9">
        <v>65</v>
      </c>
      <c r="B60" s="9" t="s">
        <v>99</v>
      </c>
      <c r="C60" s="10">
        <v>1723</v>
      </c>
      <c r="D60" s="10" t="s">
        <v>90</v>
      </c>
      <c r="E60" s="10">
        <v>0.19170000000000001</v>
      </c>
      <c r="F60" t="s">
        <v>27</v>
      </c>
      <c r="G60">
        <v>1</v>
      </c>
      <c r="H60">
        <v>449.58</v>
      </c>
      <c r="I60">
        <f t="shared" si="0"/>
        <v>449.58</v>
      </c>
      <c r="J60">
        <f t="shared" si="1"/>
        <v>2345.2269170579029</v>
      </c>
      <c r="K60" s="11">
        <f t="shared" si="2"/>
        <v>2.3452269170579028</v>
      </c>
      <c r="L60" s="114" t="s">
        <v>258</v>
      </c>
      <c r="M60">
        <v>8</v>
      </c>
    </row>
    <row r="61" spans="1:13" x14ac:dyDescent="0.2">
      <c r="A61" s="9">
        <v>66</v>
      </c>
      <c r="B61" s="9" t="s">
        <v>99</v>
      </c>
      <c r="C61" s="10">
        <v>1723</v>
      </c>
      <c r="D61" s="1" t="s">
        <v>81</v>
      </c>
      <c r="E61" s="9">
        <v>0.16089999999999999</v>
      </c>
      <c r="F61" t="s">
        <v>27</v>
      </c>
      <c r="G61">
        <v>1</v>
      </c>
      <c r="H61">
        <v>41.1</v>
      </c>
      <c r="I61">
        <f t="shared" si="0"/>
        <v>41.1</v>
      </c>
      <c r="J61">
        <f t="shared" si="1"/>
        <v>255.43816034804229</v>
      </c>
      <c r="K61" s="11">
        <f t="shared" si="2"/>
        <v>0.25543816034804229</v>
      </c>
      <c r="L61" s="114" t="s">
        <v>258</v>
      </c>
      <c r="M61">
        <v>9.26</v>
      </c>
    </row>
    <row r="62" spans="1:13" x14ac:dyDescent="0.2">
      <c r="A62" s="9">
        <v>67</v>
      </c>
      <c r="B62" s="9" t="s">
        <v>99</v>
      </c>
      <c r="C62" s="9">
        <v>1724</v>
      </c>
      <c r="D62" s="1" t="s">
        <v>82</v>
      </c>
      <c r="E62" s="9">
        <v>0.2099</v>
      </c>
      <c r="F62" s="9" t="s">
        <v>27</v>
      </c>
      <c r="G62">
        <v>1</v>
      </c>
      <c r="H62" s="9">
        <v>10.61</v>
      </c>
      <c r="I62">
        <f t="shared" si="0"/>
        <v>10.61</v>
      </c>
      <c r="J62">
        <f t="shared" si="1"/>
        <v>50.547879942829915</v>
      </c>
      <c r="K62" s="11">
        <f t="shared" si="2"/>
        <v>5.0547879942829915E-2</v>
      </c>
      <c r="L62" s="113" t="s">
        <v>255</v>
      </c>
      <c r="M62">
        <v>2.36</v>
      </c>
    </row>
    <row r="63" spans="1:13" x14ac:dyDescent="0.2">
      <c r="A63" s="9">
        <v>68</v>
      </c>
      <c r="B63" s="9" t="s">
        <v>99</v>
      </c>
      <c r="C63" s="9">
        <v>1724</v>
      </c>
      <c r="D63" s="1" t="s">
        <v>83</v>
      </c>
      <c r="E63" s="9">
        <v>0.1623</v>
      </c>
      <c r="F63" s="9" t="s">
        <v>27</v>
      </c>
      <c r="G63">
        <v>1</v>
      </c>
      <c r="H63" s="9">
        <v>4.3</v>
      </c>
      <c r="I63">
        <f t="shared" si="0"/>
        <v>4.3</v>
      </c>
      <c r="J63">
        <f t="shared" si="1"/>
        <v>26.494146642020947</v>
      </c>
      <c r="K63" s="11">
        <f t="shared" si="2"/>
        <v>2.6494146642020946E-2</v>
      </c>
      <c r="L63" s="114" t="s">
        <v>258</v>
      </c>
      <c r="M63">
        <v>3.41</v>
      </c>
    </row>
    <row r="64" spans="1:13" x14ac:dyDescent="0.2">
      <c r="A64" s="9">
        <v>69</v>
      </c>
      <c r="B64" s="9" t="s">
        <v>99</v>
      </c>
      <c r="C64" s="9">
        <v>1724</v>
      </c>
      <c r="D64" s="1" t="s">
        <v>84</v>
      </c>
      <c r="E64" s="9">
        <v>0.18959999999999999</v>
      </c>
      <c r="F64" s="9" t="s">
        <v>27</v>
      </c>
      <c r="G64">
        <v>1</v>
      </c>
      <c r="H64" s="9">
        <v>4.58</v>
      </c>
      <c r="I64">
        <f t="shared" si="0"/>
        <v>4.58</v>
      </c>
      <c r="J64">
        <f t="shared" si="1"/>
        <v>24.156118143459917</v>
      </c>
      <c r="K64" s="11">
        <f t="shared" si="2"/>
        <v>2.4156118143459918E-2</v>
      </c>
      <c r="L64" s="113" t="s">
        <v>255</v>
      </c>
      <c r="M64">
        <v>2.97</v>
      </c>
    </row>
    <row r="65" spans="1:13" x14ac:dyDescent="0.2">
      <c r="A65" s="9">
        <v>70</v>
      </c>
      <c r="B65" s="9" t="s">
        <v>99</v>
      </c>
      <c r="C65" s="9">
        <v>1714</v>
      </c>
      <c r="D65" s="1" t="s">
        <v>82</v>
      </c>
      <c r="E65" s="9">
        <v>0.2127</v>
      </c>
      <c r="F65" t="s">
        <v>27</v>
      </c>
      <c r="G65">
        <v>1</v>
      </c>
      <c r="H65" s="9">
        <v>323.91000000000003</v>
      </c>
      <c r="I65">
        <f t="shared" si="0"/>
        <v>323.91000000000003</v>
      </c>
      <c r="J65">
        <f t="shared" si="1"/>
        <v>1522.849083215797</v>
      </c>
      <c r="K65" s="11">
        <f t="shared" si="2"/>
        <v>1.522849083215797</v>
      </c>
      <c r="L65" s="114" t="s">
        <v>258</v>
      </c>
      <c r="M65">
        <v>0.83</v>
      </c>
    </row>
    <row r="66" spans="1:13" s="46" customFormat="1" x14ac:dyDescent="0.2">
      <c r="A66" s="49">
        <v>71</v>
      </c>
      <c r="B66" s="49" t="s">
        <v>99</v>
      </c>
      <c r="C66" s="49">
        <v>1714</v>
      </c>
      <c r="D66" s="115" t="s">
        <v>83</v>
      </c>
      <c r="E66" s="49">
        <v>0.15870000000000001</v>
      </c>
      <c r="F66" s="46" t="s">
        <v>27</v>
      </c>
      <c r="G66" s="46">
        <v>1</v>
      </c>
      <c r="H66" s="49">
        <v>9</v>
      </c>
      <c r="I66" s="46">
        <f t="shared" si="0"/>
        <v>9</v>
      </c>
      <c r="J66" s="46">
        <f t="shared" si="1"/>
        <v>56.710775047258977</v>
      </c>
      <c r="K66" s="48">
        <f t="shared" si="2"/>
        <v>5.6710775047258979E-2</v>
      </c>
      <c r="L66" s="116"/>
    </row>
    <row r="67" spans="1:13" x14ac:dyDescent="0.2">
      <c r="A67" s="9">
        <v>72</v>
      </c>
      <c r="B67" s="9" t="s">
        <v>99</v>
      </c>
      <c r="C67" s="9">
        <v>1714</v>
      </c>
      <c r="D67" s="1" t="s">
        <v>85</v>
      </c>
      <c r="E67" s="9">
        <v>0.19539999999999999</v>
      </c>
      <c r="F67" t="s">
        <v>27</v>
      </c>
      <c r="G67">
        <v>1</v>
      </c>
      <c r="H67" s="9">
        <v>22.62</v>
      </c>
      <c r="I67">
        <f t="shared" si="0"/>
        <v>22.62</v>
      </c>
      <c r="J67">
        <f t="shared" si="1"/>
        <v>115.76253838280451</v>
      </c>
      <c r="K67" s="11">
        <f t="shared" si="2"/>
        <v>0.11576253838280451</v>
      </c>
      <c r="L67" s="113" t="s">
        <v>255</v>
      </c>
      <c r="M67">
        <v>4.1100000000000003</v>
      </c>
    </row>
    <row r="68" spans="1:13" x14ac:dyDescent="0.2">
      <c r="A68" s="9">
        <v>73</v>
      </c>
      <c r="B68" s="9" t="s">
        <v>70</v>
      </c>
      <c r="C68" s="9">
        <v>190402</v>
      </c>
      <c r="D68" s="1" t="s">
        <v>86</v>
      </c>
      <c r="E68" s="9">
        <v>0.19120000000000001</v>
      </c>
      <c r="F68" t="s">
        <v>27</v>
      </c>
      <c r="G68">
        <v>1</v>
      </c>
      <c r="H68" s="9">
        <v>18.18</v>
      </c>
      <c r="I68">
        <f t="shared" si="0"/>
        <v>18.18</v>
      </c>
      <c r="J68">
        <f t="shared" si="1"/>
        <v>95.0836820083682</v>
      </c>
      <c r="K68" s="11">
        <f t="shared" si="2"/>
        <v>9.5083682008368198E-2</v>
      </c>
      <c r="L68" s="113" t="s">
        <v>255</v>
      </c>
      <c r="M68">
        <v>3.78</v>
      </c>
    </row>
    <row r="69" spans="1:13" x14ac:dyDescent="0.2">
      <c r="A69" s="9">
        <v>74</v>
      </c>
      <c r="B69" s="9" t="s">
        <v>70</v>
      </c>
      <c r="C69" s="9">
        <v>190402</v>
      </c>
      <c r="D69" s="1" t="s">
        <v>87</v>
      </c>
      <c r="E69" s="9">
        <v>0.1938</v>
      </c>
      <c r="F69" t="s">
        <v>27</v>
      </c>
      <c r="G69">
        <v>1</v>
      </c>
      <c r="H69" s="9">
        <v>7.95</v>
      </c>
      <c r="I69">
        <f t="shared" si="0"/>
        <v>7.95</v>
      </c>
      <c r="J69">
        <f t="shared" si="1"/>
        <v>41.021671826625386</v>
      </c>
      <c r="K69" s="11">
        <f t="shared" si="2"/>
        <v>4.1021671826625389E-2</v>
      </c>
      <c r="L69" s="113" t="s">
        <v>255</v>
      </c>
      <c r="M69">
        <v>2.08</v>
      </c>
    </row>
    <row r="70" spans="1:13" x14ac:dyDescent="0.2">
      <c r="A70" s="9">
        <v>75</v>
      </c>
      <c r="B70" s="9" t="s">
        <v>70</v>
      </c>
      <c r="C70" s="9">
        <v>190402</v>
      </c>
      <c r="D70" s="1" t="s">
        <v>88</v>
      </c>
      <c r="E70" s="9">
        <v>0.2135</v>
      </c>
      <c r="F70" t="s">
        <v>27</v>
      </c>
      <c r="G70">
        <v>1</v>
      </c>
      <c r="H70" s="9">
        <v>7.37</v>
      </c>
      <c r="I70">
        <f t="shared" si="0"/>
        <v>7.37</v>
      </c>
      <c r="J70">
        <f t="shared" si="1"/>
        <v>34.519906323185012</v>
      </c>
      <c r="K70" s="11">
        <f t="shared" si="2"/>
        <v>3.451990632318501E-2</v>
      </c>
      <c r="L70" s="113" t="s">
        <v>255</v>
      </c>
      <c r="M70">
        <v>4.51</v>
      </c>
    </row>
    <row r="71" spans="1:13" x14ac:dyDescent="0.2">
      <c r="A71" s="9">
        <v>76</v>
      </c>
      <c r="B71" s="9" t="s">
        <v>70</v>
      </c>
      <c r="C71" s="9">
        <v>2019047</v>
      </c>
      <c r="D71" s="1" t="s">
        <v>86</v>
      </c>
      <c r="E71" s="9">
        <v>0.21490000000000001</v>
      </c>
      <c r="F71" t="s">
        <v>40</v>
      </c>
      <c r="G71">
        <v>0.5</v>
      </c>
      <c r="H71">
        <v>16.37</v>
      </c>
      <c r="I71">
        <f t="shared" si="0"/>
        <v>8.1850000000000005</v>
      </c>
      <c r="J71">
        <f t="shared" si="1"/>
        <v>38.087482550023267</v>
      </c>
      <c r="K71">
        <f t="shared" si="2"/>
        <v>3.8087482550023269E-2</v>
      </c>
      <c r="L71" s="114" t="s">
        <v>258</v>
      </c>
      <c r="M71">
        <v>8.75</v>
      </c>
    </row>
    <row r="72" spans="1:13" x14ac:dyDescent="0.2">
      <c r="A72" s="9">
        <v>77</v>
      </c>
      <c r="B72" s="9" t="s">
        <v>70</v>
      </c>
      <c r="C72" s="9">
        <v>2019047</v>
      </c>
      <c r="D72" s="1" t="s">
        <v>81</v>
      </c>
      <c r="E72" s="9">
        <v>0.19439999999999999</v>
      </c>
      <c r="F72" t="s">
        <v>40</v>
      </c>
      <c r="G72">
        <v>0.5</v>
      </c>
      <c r="H72">
        <v>5.33</v>
      </c>
      <c r="I72">
        <f t="shared" si="0"/>
        <v>2.665</v>
      </c>
      <c r="J72">
        <f t="shared" si="1"/>
        <v>13.708847736625515</v>
      </c>
      <c r="K72">
        <f t="shared" si="2"/>
        <v>1.3708847736625515E-2</v>
      </c>
      <c r="L72" s="114" t="s">
        <v>258</v>
      </c>
      <c r="M72">
        <v>6.83</v>
      </c>
    </row>
    <row r="73" spans="1:13" x14ac:dyDescent="0.2">
      <c r="A73" s="9">
        <v>78</v>
      </c>
      <c r="B73" s="9" t="s">
        <v>70</v>
      </c>
      <c r="C73" s="9">
        <v>2019047</v>
      </c>
      <c r="D73" s="1" t="s">
        <v>89</v>
      </c>
      <c r="E73" s="9">
        <v>0.23519999999999999</v>
      </c>
      <c r="F73" t="s">
        <v>40</v>
      </c>
      <c r="G73">
        <v>0.5</v>
      </c>
      <c r="H73">
        <v>2.2200000000000002</v>
      </c>
      <c r="I73">
        <f t="shared" si="0"/>
        <v>1.1100000000000001</v>
      </c>
      <c r="J73">
        <f t="shared" si="1"/>
        <v>4.7193877551020416</v>
      </c>
      <c r="K73">
        <f t="shared" si="2"/>
        <v>4.7193877551020419E-3</v>
      </c>
      <c r="L73" s="114" t="s">
        <v>258</v>
      </c>
      <c r="M73">
        <v>1.55</v>
      </c>
    </row>
    <row r="74" spans="1:13" x14ac:dyDescent="0.2">
      <c r="A74" s="9">
        <v>79</v>
      </c>
      <c r="B74" s="9" t="s">
        <v>99</v>
      </c>
      <c r="C74" s="9">
        <v>1732</v>
      </c>
      <c r="D74" s="1" t="s">
        <v>90</v>
      </c>
      <c r="E74" s="9">
        <v>0.1459</v>
      </c>
      <c r="F74" t="s">
        <v>40</v>
      </c>
      <c r="G74">
        <v>0.5</v>
      </c>
      <c r="H74">
        <v>10.91</v>
      </c>
      <c r="I74">
        <f t="shared" si="0"/>
        <v>5.4550000000000001</v>
      </c>
      <c r="J74">
        <f t="shared" si="1"/>
        <v>37.38862234407128</v>
      </c>
      <c r="K74">
        <f t="shared" si="2"/>
        <v>3.7388622344071282E-2</v>
      </c>
      <c r="L74" s="114" t="s">
        <v>258</v>
      </c>
      <c r="M74">
        <v>4.28</v>
      </c>
    </row>
    <row r="75" spans="1:13" x14ac:dyDescent="0.2">
      <c r="A75" s="9">
        <v>80</v>
      </c>
      <c r="B75" s="9" t="s">
        <v>99</v>
      </c>
      <c r="C75" s="9">
        <v>1732</v>
      </c>
      <c r="D75" s="1" t="s">
        <v>91</v>
      </c>
      <c r="E75" s="9">
        <v>0.125</v>
      </c>
      <c r="F75" t="s">
        <v>40</v>
      </c>
      <c r="G75">
        <v>0.5</v>
      </c>
      <c r="H75">
        <v>14.45</v>
      </c>
      <c r="I75">
        <f t="shared" si="0"/>
        <v>7.2249999999999996</v>
      </c>
      <c r="J75">
        <f t="shared" si="1"/>
        <v>57.8</v>
      </c>
      <c r="K75">
        <f t="shared" si="2"/>
        <v>5.7799999999999997E-2</v>
      </c>
      <c r="L75" s="114" t="s">
        <v>258</v>
      </c>
      <c r="M75">
        <v>7.6</v>
      </c>
    </row>
    <row r="76" spans="1:13" x14ac:dyDescent="0.2">
      <c r="A76" s="9">
        <v>81</v>
      </c>
      <c r="B76" s="9" t="s">
        <v>99</v>
      </c>
      <c r="C76" s="9">
        <v>1732</v>
      </c>
      <c r="D76" s="1" t="s">
        <v>85</v>
      </c>
      <c r="E76" s="9">
        <v>0.17599999999999999</v>
      </c>
      <c r="F76" t="s">
        <v>40</v>
      </c>
      <c r="G76">
        <v>0.5</v>
      </c>
      <c r="H76" s="45">
        <v>1.1000000000000001</v>
      </c>
      <c r="I76">
        <f t="shared" si="0"/>
        <v>0.55000000000000004</v>
      </c>
      <c r="J76">
        <f t="shared" si="1"/>
        <v>3.1250000000000004</v>
      </c>
      <c r="K76">
        <f t="shared" si="2"/>
        <v>3.1250000000000006E-3</v>
      </c>
      <c r="L76" s="114" t="s">
        <v>258</v>
      </c>
      <c r="M76">
        <v>2.82</v>
      </c>
    </row>
    <row r="77" spans="1:13" x14ac:dyDescent="0.2">
      <c r="A77" s="9">
        <v>82</v>
      </c>
      <c r="B77" s="9" t="s">
        <v>99</v>
      </c>
      <c r="C77" s="9">
        <v>1720</v>
      </c>
      <c r="D77" s="1" t="s">
        <v>90</v>
      </c>
      <c r="E77" s="9">
        <v>0.1668</v>
      </c>
      <c r="F77" t="s">
        <v>40</v>
      </c>
      <c r="G77">
        <v>0.5</v>
      </c>
      <c r="H77">
        <v>30.81</v>
      </c>
      <c r="I77">
        <f t="shared" si="0"/>
        <v>15.404999999999999</v>
      </c>
      <c r="J77">
        <f t="shared" si="1"/>
        <v>92.356115107913666</v>
      </c>
      <c r="K77">
        <f t="shared" si="2"/>
        <v>9.2356115107913667E-2</v>
      </c>
      <c r="L77" s="114" t="s">
        <v>258</v>
      </c>
      <c r="M77">
        <v>0.23</v>
      </c>
    </row>
    <row r="78" spans="1:13" x14ac:dyDescent="0.2">
      <c r="A78" s="9">
        <v>83</v>
      </c>
      <c r="B78" s="9" t="s">
        <v>99</v>
      </c>
      <c r="C78" s="9">
        <v>1720</v>
      </c>
      <c r="D78" s="1" t="s">
        <v>85</v>
      </c>
      <c r="E78" s="9">
        <v>0.17230000000000001</v>
      </c>
      <c r="F78" t="s">
        <v>40</v>
      </c>
      <c r="G78">
        <v>0.5</v>
      </c>
      <c r="H78">
        <v>3.9</v>
      </c>
      <c r="I78">
        <f t="shared" ref="I78:I109" si="3">H78*G78</f>
        <v>1.95</v>
      </c>
      <c r="J78">
        <f t="shared" ref="J78:J109" si="4">I78/E78</f>
        <v>11.317469529889726</v>
      </c>
      <c r="K78">
        <f t="shared" ref="K78:K109" si="5">J78/1000</f>
        <v>1.1317469529889726E-2</v>
      </c>
      <c r="L78" s="114" t="s">
        <v>258</v>
      </c>
      <c r="M78">
        <v>3.92</v>
      </c>
    </row>
    <row r="79" spans="1:13" x14ac:dyDescent="0.2">
      <c r="A79" s="9">
        <v>84</v>
      </c>
      <c r="B79" s="9" t="s">
        <v>99</v>
      </c>
      <c r="C79" s="9">
        <v>1712</v>
      </c>
      <c r="D79" s="1" t="s">
        <v>92</v>
      </c>
      <c r="E79" s="9">
        <v>0.1653</v>
      </c>
      <c r="F79" t="s">
        <v>40</v>
      </c>
      <c r="G79">
        <v>0.5</v>
      </c>
      <c r="H79">
        <v>17.28</v>
      </c>
      <c r="I79">
        <f t="shared" si="3"/>
        <v>8.64</v>
      </c>
      <c r="J79">
        <f t="shared" si="4"/>
        <v>52.268602540834848</v>
      </c>
      <c r="K79">
        <f t="shared" si="5"/>
        <v>5.2268602540834846E-2</v>
      </c>
      <c r="L79" s="114" t="s">
        <v>258</v>
      </c>
      <c r="M79">
        <v>7.68</v>
      </c>
    </row>
    <row r="80" spans="1:13" x14ac:dyDescent="0.2">
      <c r="A80" s="9">
        <v>85</v>
      </c>
      <c r="B80" s="9" t="s">
        <v>99</v>
      </c>
      <c r="C80" s="9">
        <v>1712</v>
      </c>
      <c r="D80" s="1" t="s">
        <v>83</v>
      </c>
      <c r="E80" s="9">
        <v>0.1333</v>
      </c>
      <c r="F80" t="s">
        <v>40</v>
      </c>
      <c r="G80">
        <v>0.5</v>
      </c>
      <c r="H80" s="45">
        <v>3</v>
      </c>
      <c r="I80">
        <f t="shared" si="3"/>
        <v>1.5</v>
      </c>
      <c r="J80">
        <f t="shared" si="4"/>
        <v>11.252813203300825</v>
      </c>
      <c r="K80">
        <f t="shared" si="5"/>
        <v>1.1252813203300824E-2</v>
      </c>
      <c r="L80" s="114" t="s">
        <v>258</v>
      </c>
      <c r="M80">
        <v>7.1</v>
      </c>
    </row>
    <row r="81" spans="1:13" x14ac:dyDescent="0.2">
      <c r="A81" s="9">
        <v>86</v>
      </c>
      <c r="B81" s="9" t="s">
        <v>99</v>
      </c>
      <c r="C81" s="9">
        <v>1712</v>
      </c>
      <c r="D81" s="1" t="s">
        <v>84</v>
      </c>
      <c r="E81" s="9">
        <v>0.109</v>
      </c>
      <c r="F81" t="s">
        <v>40</v>
      </c>
      <c r="G81">
        <v>0.5</v>
      </c>
      <c r="L81" s="94"/>
    </row>
    <row r="82" spans="1:13" x14ac:dyDescent="0.2">
      <c r="A82" s="9">
        <v>87</v>
      </c>
      <c r="B82" s="9" t="s">
        <v>70</v>
      </c>
      <c r="C82" s="9">
        <v>190430</v>
      </c>
      <c r="D82" s="1" t="s">
        <v>90</v>
      </c>
      <c r="E82" s="9">
        <v>0.104</v>
      </c>
      <c r="F82" t="s">
        <v>27</v>
      </c>
      <c r="G82">
        <v>1</v>
      </c>
      <c r="H82" s="9">
        <v>5.98</v>
      </c>
      <c r="I82">
        <f t="shared" si="3"/>
        <v>5.98</v>
      </c>
      <c r="J82">
        <f t="shared" si="4"/>
        <v>57.500000000000007</v>
      </c>
      <c r="K82" s="11">
        <f t="shared" si="5"/>
        <v>5.7500000000000009E-2</v>
      </c>
      <c r="L82" s="113" t="s">
        <v>255</v>
      </c>
      <c r="M82">
        <v>0.72</v>
      </c>
    </row>
    <row r="83" spans="1:13" x14ac:dyDescent="0.2">
      <c r="A83" s="9">
        <v>88</v>
      </c>
      <c r="B83" s="9" t="s">
        <v>70</v>
      </c>
      <c r="C83" s="9">
        <v>190430</v>
      </c>
      <c r="D83" s="1" t="s">
        <v>91</v>
      </c>
      <c r="E83" s="9">
        <v>0.153</v>
      </c>
      <c r="F83" t="s">
        <v>27</v>
      </c>
      <c r="G83">
        <v>1</v>
      </c>
      <c r="H83" s="9">
        <v>5.66</v>
      </c>
      <c r="I83">
        <f t="shared" si="3"/>
        <v>5.66</v>
      </c>
      <c r="J83">
        <f t="shared" si="4"/>
        <v>36.993464052287585</v>
      </c>
      <c r="K83" s="11">
        <f t="shared" si="5"/>
        <v>3.6993464052287588E-2</v>
      </c>
      <c r="L83" s="113" t="s">
        <v>255</v>
      </c>
      <c r="M83">
        <v>3.82</v>
      </c>
    </row>
    <row r="84" spans="1:13" x14ac:dyDescent="0.2">
      <c r="A84" s="9">
        <v>89</v>
      </c>
      <c r="B84" s="9" t="s">
        <v>70</v>
      </c>
      <c r="C84" s="9">
        <v>190430</v>
      </c>
      <c r="D84" s="1" t="s">
        <v>85</v>
      </c>
      <c r="E84" s="9">
        <v>0.21249999999999999</v>
      </c>
      <c r="F84" t="s">
        <v>27</v>
      </c>
      <c r="G84">
        <v>1</v>
      </c>
      <c r="H84" s="9">
        <v>4.42</v>
      </c>
      <c r="I84">
        <f t="shared" si="3"/>
        <v>4.42</v>
      </c>
      <c r="J84">
        <f t="shared" si="4"/>
        <v>20.8</v>
      </c>
      <c r="K84" s="11">
        <f t="shared" si="5"/>
        <v>2.0799999999999999E-2</v>
      </c>
      <c r="L84" s="113" t="s">
        <v>255</v>
      </c>
      <c r="M84">
        <v>1.77</v>
      </c>
    </row>
    <row r="85" spans="1:13" x14ac:dyDescent="0.2">
      <c r="A85" s="9">
        <v>90</v>
      </c>
      <c r="B85" s="9" t="s">
        <v>99</v>
      </c>
      <c r="C85" s="9">
        <v>1740</v>
      </c>
      <c r="D85" s="1" t="s">
        <v>90</v>
      </c>
      <c r="E85" s="9">
        <v>0.16919999999999999</v>
      </c>
      <c r="F85" t="s">
        <v>40</v>
      </c>
      <c r="G85">
        <v>1</v>
      </c>
      <c r="H85" s="9">
        <v>18.920000000000002</v>
      </c>
      <c r="I85">
        <f t="shared" si="3"/>
        <v>18.920000000000002</v>
      </c>
      <c r="J85">
        <f t="shared" si="4"/>
        <v>111.82033096926716</v>
      </c>
      <c r="K85" s="11">
        <f t="shared" si="5"/>
        <v>0.11182033096926716</v>
      </c>
      <c r="L85" s="94" t="s">
        <v>253</v>
      </c>
      <c r="M85">
        <v>4.7</v>
      </c>
    </row>
    <row r="86" spans="1:13" x14ac:dyDescent="0.2">
      <c r="A86" s="9">
        <v>91</v>
      </c>
      <c r="B86" s="9" t="s">
        <v>99</v>
      </c>
      <c r="C86" s="9">
        <v>1740</v>
      </c>
      <c r="D86" s="1" t="s">
        <v>85</v>
      </c>
      <c r="E86" s="9">
        <v>0.12959999999999999</v>
      </c>
      <c r="F86" t="s">
        <v>40</v>
      </c>
      <c r="G86">
        <v>1</v>
      </c>
      <c r="H86" s="9">
        <v>6.39</v>
      </c>
      <c r="I86">
        <f t="shared" si="3"/>
        <v>6.39</v>
      </c>
      <c r="J86">
        <f t="shared" si="4"/>
        <v>49.305555555555557</v>
      </c>
      <c r="K86" s="11">
        <f t="shared" si="5"/>
        <v>4.9305555555555554E-2</v>
      </c>
      <c r="L86" s="94" t="s">
        <v>253</v>
      </c>
      <c r="M86">
        <v>1.9</v>
      </c>
    </row>
    <row r="87" spans="1:13" x14ac:dyDescent="0.2">
      <c r="A87" s="9">
        <v>92</v>
      </c>
      <c r="B87" s="9" t="s">
        <v>100</v>
      </c>
      <c r="C87" s="9">
        <v>2019017</v>
      </c>
      <c r="D87" s="1" t="s">
        <v>90</v>
      </c>
      <c r="E87" s="9">
        <v>0.17749999999999999</v>
      </c>
      <c r="F87" t="s">
        <v>27</v>
      </c>
      <c r="G87">
        <v>1</v>
      </c>
      <c r="H87" s="9">
        <v>35.9</v>
      </c>
      <c r="I87">
        <f t="shared" si="3"/>
        <v>35.9</v>
      </c>
      <c r="J87">
        <f t="shared" si="4"/>
        <v>202.25352112676057</v>
      </c>
      <c r="K87" s="11">
        <f t="shared" si="5"/>
        <v>0.20225352112676057</v>
      </c>
      <c r="L87" s="113" t="s">
        <v>255</v>
      </c>
      <c r="M87">
        <v>5.96</v>
      </c>
    </row>
    <row r="88" spans="1:13" x14ac:dyDescent="0.2">
      <c r="A88" s="9">
        <v>93</v>
      </c>
      <c r="B88" s="9" t="s">
        <v>100</v>
      </c>
      <c r="C88" s="9">
        <v>2019017</v>
      </c>
      <c r="D88" s="1" t="s">
        <v>91</v>
      </c>
      <c r="E88" s="9">
        <v>0.16189999999999999</v>
      </c>
      <c r="F88" t="s">
        <v>27</v>
      </c>
      <c r="G88">
        <v>1</v>
      </c>
      <c r="H88" s="9">
        <v>10.83</v>
      </c>
      <c r="I88">
        <f t="shared" si="3"/>
        <v>10.83</v>
      </c>
      <c r="J88">
        <f t="shared" si="4"/>
        <v>66.893143915997541</v>
      </c>
      <c r="K88" s="11">
        <f t="shared" si="5"/>
        <v>6.6893143915997544E-2</v>
      </c>
      <c r="L88" s="113" t="s">
        <v>255</v>
      </c>
      <c r="M88">
        <v>0.08</v>
      </c>
    </row>
    <row r="89" spans="1:13" x14ac:dyDescent="0.2">
      <c r="A89" s="9">
        <v>94</v>
      </c>
      <c r="B89" s="9" t="s">
        <v>100</v>
      </c>
      <c r="C89" s="9">
        <v>2019017</v>
      </c>
      <c r="D89" s="1" t="s">
        <v>85</v>
      </c>
      <c r="E89" s="9">
        <v>0.2296</v>
      </c>
      <c r="F89" t="s">
        <v>27</v>
      </c>
      <c r="G89">
        <v>1</v>
      </c>
      <c r="H89" s="9">
        <v>20.7</v>
      </c>
      <c r="I89">
        <f t="shared" si="3"/>
        <v>20.7</v>
      </c>
      <c r="J89">
        <f t="shared" si="4"/>
        <v>90.156794425087099</v>
      </c>
      <c r="K89" s="11">
        <f t="shared" si="5"/>
        <v>9.0156794425087103E-2</v>
      </c>
      <c r="L89" s="113" t="s">
        <v>255</v>
      </c>
      <c r="M89">
        <v>2.65</v>
      </c>
    </row>
    <row r="90" spans="1:13" x14ac:dyDescent="0.2">
      <c r="A90" s="9">
        <v>95</v>
      </c>
      <c r="B90" s="22" t="s">
        <v>70</v>
      </c>
      <c r="C90" s="9">
        <v>190417</v>
      </c>
      <c r="D90" s="1" t="s">
        <v>90</v>
      </c>
      <c r="E90" s="9">
        <v>0.19769999999999999</v>
      </c>
      <c r="F90" t="s">
        <v>27</v>
      </c>
      <c r="G90">
        <v>1</v>
      </c>
      <c r="H90" s="9">
        <v>14.62</v>
      </c>
      <c r="I90">
        <f t="shared" si="3"/>
        <v>14.62</v>
      </c>
      <c r="J90">
        <f t="shared" si="4"/>
        <v>73.950429944360138</v>
      </c>
      <c r="K90" s="11">
        <f t="shared" si="5"/>
        <v>7.3950429944360144E-2</v>
      </c>
      <c r="L90" s="113" t="s">
        <v>255</v>
      </c>
      <c r="M90">
        <v>5.7</v>
      </c>
    </row>
    <row r="91" spans="1:13" x14ac:dyDescent="0.2">
      <c r="A91" s="9">
        <v>96</v>
      </c>
      <c r="B91" s="22" t="s">
        <v>70</v>
      </c>
      <c r="C91" s="9">
        <v>190417</v>
      </c>
      <c r="D91" s="1" t="s">
        <v>91</v>
      </c>
      <c r="E91" s="9">
        <v>9.5699999999999993E-2</v>
      </c>
      <c r="F91" t="s">
        <v>27</v>
      </c>
      <c r="G91">
        <v>1</v>
      </c>
      <c r="H91" s="9">
        <v>1.7</v>
      </c>
      <c r="I91">
        <f t="shared" si="3"/>
        <v>1.7</v>
      </c>
      <c r="J91">
        <f t="shared" si="4"/>
        <v>17.763845350052247</v>
      </c>
      <c r="K91" s="11">
        <f t="shared" si="5"/>
        <v>1.7763845350052248E-2</v>
      </c>
      <c r="L91" s="94" t="s">
        <v>253</v>
      </c>
      <c r="M91">
        <v>1.5</v>
      </c>
    </row>
    <row r="92" spans="1:13" x14ac:dyDescent="0.2">
      <c r="A92" s="9">
        <v>97</v>
      </c>
      <c r="B92" s="22" t="s">
        <v>70</v>
      </c>
      <c r="C92" s="9">
        <v>190417</v>
      </c>
      <c r="D92" s="1" t="s">
        <v>85</v>
      </c>
      <c r="E92" s="9">
        <v>0.10249999999999999</v>
      </c>
      <c r="F92" t="s">
        <v>27</v>
      </c>
      <c r="G92">
        <v>1</v>
      </c>
      <c r="H92" s="9">
        <v>3.78</v>
      </c>
      <c r="I92">
        <f t="shared" si="3"/>
        <v>3.78</v>
      </c>
      <c r="J92">
        <f t="shared" si="4"/>
        <v>36.878048780487802</v>
      </c>
      <c r="K92" s="11">
        <f t="shared" si="5"/>
        <v>3.6878048780487803E-2</v>
      </c>
      <c r="L92" s="94" t="s">
        <v>253</v>
      </c>
      <c r="M92">
        <v>0.6</v>
      </c>
    </row>
    <row r="93" spans="1:13" x14ac:dyDescent="0.2">
      <c r="A93" s="9">
        <v>98</v>
      </c>
      <c r="B93" s="9" t="s">
        <v>99</v>
      </c>
      <c r="C93" s="9">
        <v>1727</v>
      </c>
      <c r="D93" s="1" t="s">
        <v>90</v>
      </c>
      <c r="E93" s="9">
        <v>0.14829999999999999</v>
      </c>
      <c r="F93" t="s">
        <v>40</v>
      </c>
      <c r="G93">
        <v>1</v>
      </c>
      <c r="H93" s="9">
        <v>19.600000000000001</v>
      </c>
      <c r="I93">
        <f t="shared" si="3"/>
        <v>19.600000000000001</v>
      </c>
      <c r="J93">
        <f t="shared" si="4"/>
        <v>132.16453135536077</v>
      </c>
      <c r="K93" s="11">
        <f t="shared" si="5"/>
        <v>0.13216453135536077</v>
      </c>
      <c r="L93" s="94" t="s">
        <v>253</v>
      </c>
      <c r="M93">
        <v>2.9</v>
      </c>
    </row>
    <row r="94" spans="1:13" x14ac:dyDescent="0.2">
      <c r="A94" s="9">
        <v>99</v>
      </c>
      <c r="B94" s="9" t="s">
        <v>99</v>
      </c>
      <c r="C94" s="9">
        <v>1727</v>
      </c>
      <c r="D94" s="1" t="s">
        <v>91</v>
      </c>
      <c r="E94" s="9">
        <v>0.13650000000000001</v>
      </c>
      <c r="F94" t="s">
        <v>40</v>
      </c>
      <c r="G94">
        <v>1</v>
      </c>
      <c r="H94" s="9">
        <v>36.1</v>
      </c>
      <c r="I94">
        <f t="shared" si="3"/>
        <v>36.1</v>
      </c>
      <c r="J94">
        <f t="shared" si="4"/>
        <v>264.46886446886447</v>
      </c>
      <c r="K94" s="11">
        <f t="shared" si="5"/>
        <v>0.26446886446886447</v>
      </c>
      <c r="L94" s="94" t="s">
        <v>253</v>
      </c>
      <c r="M94">
        <v>2.4</v>
      </c>
    </row>
    <row r="95" spans="1:13" x14ac:dyDescent="0.2">
      <c r="A95" s="9">
        <v>100</v>
      </c>
      <c r="B95" s="9" t="s">
        <v>99</v>
      </c>
      <c r="C95" s="9">
        <v>1727</v>
      </c>
      <c r="D95" s="1" t="s">
        <v>85</v>
      </c>
      <c r="E95" s="9">
        <v>0.20780000000000001</v>
      </c>
      <c r="F95" t="s">
        <v>40</v>
      </c>
      <c r="G95">
        <v>1</v>
      </c>
      <c r="H95" s="9">
        <v>90.29</v>
      </c>
      <c r="I95">
        <f t="shared" si="3"/>
        <v>90.29</v>
      </c>
      <c r="J95">
        <f t="shared" si="4"/>
        <v>434.50433108758421</v>
      </c>
      <c r="K95" s="11">
        <f t="shared" si="5"/>
        <v>0.43450433108758418</v>
      </c>
      <c r="L95" s="94" t="s">
        <v>253</v>
      </c>
      <c r="M95">
        <v>0.4</v>
      </c>
    </row>
    <row r="96" spans="1:13" x14ac:dyDescent="0.2">
      <c r="A96" s="9">
        <v>101</v>
      </c>
      <c r="B96" s="9" t="s">
        <v>99</v>
      </c>
      <c r="C96" t="s">
        <v>101</v>
      </c>
      <c r="D96" s="1" t="s">
        <v>90</v>
      </c>
      <c r="E96" s="9">
        <v>0.16889999999999999</v>
      </c>
      <c r="F96" s="9" t="s">
        <v>27</v>
      </c>
      <c r="G96">
        <v>1</v>
      </c>
      <c r="H96" s="9">
        <v>60.03</v>
      </c>
      <c r="I96">
        <f t="shared" si="3"/>
        <v>60.03</v>
      </c>
      <c r="J96">
        <f t="shared" si="4"/>
        <v>355.41740674955599</v>
      </c>
      <c r="K96" s="11">
        <f t="shared" si="5"/>
        <v>0.35541740674955602</v>
      </c>
      <c r="L96" s="113" t="s">
        <v>255</v>
      </c>
      <c r="M96">
        <v>5.97</v>
      </c>
    </row>
    <row r="97" spans="1:13" x14ac:dyDescent="0.2">
      <c r="A97" s="9">
        <v>102</v>
      </c>
      <c r="B97" s="9" t="s">
        <v>99</v>
      </c>
      <c r="C97" t="s">
        <v>101</v>
      </c>
      <c r="D97" s="1" t="s">
        <v>91</v>
      </c>
      <c r="E97" s="9">
        <v>0.1062</v>
      </c>
      <c r="F97" s="9" t="s">
        <v>27</v>
      </c>
      <c r="G97">
        <v>1</v>
      </c>
      <c r="H97" s="9">
        <v>12.15</v>
      </c>
      <c r="I97">
        <f t="shared" si="3"/>
        <v>12.15</v>
      </c>
      <c r="J97">
        <f t="shared" si="4"/>
        <v>114.40677966101696</v>
      </c>
      <c r="K97" s="11">
        <f t="shared" si="5"/>
        <v>0.11440677966101695</v>
      </c>
      <c r="L97" s="113" t="s">
        <v>255</v>
      </c>
      <c r="M97">
        <v>6.44</v>
      </c>
    </row>
    <row r="98" spans="1:13" x14ac:dyDescent="0.2">
      <c r="A98" s="9">
        <v>103</v>
      </c>
      <c r="B98" s="9" t="s">
        <v>99</v>
      </c>
      <c r="C98" t="s">
        <v>101</v>
      </c>
      <c r="D98" s="1" t="s">
        <v>85</v>
      </c>
      <c r="E98" s="9">
        <v>0.13650000000000001</v>
      </c>
      <c r="F98" s="9" t="s">
        <v>27</v>
      </c>
      <c r="G98">
        <v>1</v>
      </c>
      <c r="I98">
        <f t="shared" si="3"/>
        <v>0</v>
      </c>
      <c r="J98">
        <f t="shared" si="4"/>
        <v>0</v>
      </c>
      <c r="K98" s="11">
        <f t="shared" si="5"/>
        <v>0</v>
      </c>
      <c r="L98" s="94" t="s">
        <v>253</v>
      </c>
    </row>
    <row r="99" spans="1:13" x14ac:dyDescent="0.2">
      <c r="A99" s="9">
        <v>104</v>
      </c>
      <c r="B99" s="9" t="s">
        <v>102</v>
      </c>
      <c r="C99">
        <v>2018088</v>
      </c>
      <c r="D99" s="1" t="s">
        <v>93</v>
      </c>
      <c r="E99" s="9">
        <v>0.2467</v>
      </c>
      <c r="F99" s="9" t="s">
        <v>27</v>
      </c>
      <c r="G99">
        <v>1</v>
      </c>
      <c r="H99" s="9">
        <v>4.7699999999999996</v>
      </c>
      <c r="I99">
        <f t="shared" si="3"/>
        <v>4.7699999999999996</v>
      </c>
      <c r="J99">
        <f t="shared" si="4"/>
        <v>19.335224969598702</v>
      </c>
      <c r="K99" s="11">
        <f t="shared" si="5"/>
        <v>1.9335224969598701E-2</v>
      </c>
      <c r="L99" s="113" t="s">
        <v>255</v>
      </c>
      <c r="M99">
        <v>6.18</v>
      </c>
    </row>
    <row r="100" spans="1:13" x14ac:dyDescent="0.2">
      <c r="A100" s="9">
        <v>105</v>
      </c>
      <c r="B100" s="9" t="s">
        <v>102</v>
      </c>
      <c r="C100">
        <v>2018088</v>
      </c>
      <c r="D100" s="1" t="s">
        <v>94</v>
      </c>
      <c r="E100" s="9">
        <v>0.18579999999999999</v>
      </c>
      <c r="F100" s="9" t="s">
        <v>27</v>
      </c>
      <c r="G100">
        <v>1</v>
      </c>
      <c r="H100" s="9">
        <v>7.83</v>
      </c>
      <c r="I100">
        <f t="shared" si="3"/>
        <v>7.83</v>
      </c>
      <c r="J100">
        <f t="shared" si="4"/>
        <v>42.142088266953714</v>
      </c>
      <c r="K100" s="11">
        <f t="shared" si="5"/>
        <v>4.214208826695371E-2</v>
      </c>
      <c r="L100" s="113" t="s">
        <v>255</v>
      </c>
      <c r="M100">
        <v>2</v>
      </c>
    </row>
    <row r="101" spans="1:13" x14ac:dyDescent="0.2">
      <c r="A101" s="9">
        <v>106</v>
      </c>
      <c r="B101" s="9" t="s">
        <v>102</v>
      </c>
      <c r="C101">
        <v>2018088</v>
      </c>
      <c r="D101" s="1" t="s">
        <v>95</v>
      </c>
      <c r="E101" s="9">
        <v>0.20810000000000001</v>
      </c>
      <c r="F101" s="9" t="s">
        <v>27</v>
      </c>
      <c r="G101">
        <v>1</v>
      </c>
      <c r="H101" s="76">
        <v>5.75</v>
      </c>
      <c r="I101">
        <f t="shared" si="3"/>
        <v>5.75</v>
      </c>
      <c r="J101">
        <f t="shared" si="4"/>
        <v>27.63094666025949</v>
      </c>
      <c r="K101" s="11">
        <f t="shared" si="5"/>
        <v>2.7630946660259489E-2</v>
      </c>
      <c r="L101" s="113" t="s">
        <v>255</v>
      </c>
      <c r="M101">
        <v>5.01</v>
      </c>
    </row>
    <row r="102" spans="1:13" x14ac:dyDescent="0.2">
      <c r="A102" s="9">
        <v>107</v>
      </c>
      <c r="B102" s="9" t="s">
        <v>102</v>
      </c>
      <c r="C102">
        <v>2018088</v>
      </c>
      <c r="D102" s="1" t="s">
        <v>96</v>
      </c>
      <c r="E102" s="9">
        <v>0.2838</v>
      </c>
      <c r="F102" s="9" t="s">
        <v>27</v>
      </c>
      <c r="G102">
        <v>1</v>
      </c>
      <c r="H102" s="9">
        <v>9.75</v>
      </c>
      <c r="I102">
        <f t="shared" si="3"/>
        <v>9.75</v>
      </c>
      <c r="J102">
        <f t="shared" si="4"/>
        <v>34.355179704016912</v>
      </c>
      <c r="K102" s="11">
        <f t="shared" si="5"/>
        <v>3.4355179704016914E-2</v>
      </c>
      <c r="L102" s="113" t="s">
        <v>255</v>
      </c>
      <c r="M102">
        <v>4.9000000000000004</v>
      </c>
    </row>
    <row r="103" spans="1:13" x14ac:dyDescent="0.2">
      <c r="A103" s="9">
        <v>108</v>
      </c>
      <c r="B103" s="9" t="s">
        <v>102</v>
      </c>
      <c r="C103">
        <v>2019198</v>
      </c>
      <c r="D103" s="1" t="s">
        <v>90</v>
      </c>
      <c r="E103" s="9">
        <v>0.20799999999999999</v>
      </c>
      <c r="F103" s="9" t="s">
        <v>40</v>
      </c>
      <c r="G103">
        <v>1</v>
      </c>
      <c r="H103" s="9">
        <v>8.1</v>
      </c>
      <c r="I103">
        <f t="shared" si="3"/>
        <v>8.1</v>
      </c>
      <c r="J103">
        <f t="shared" si="4"/>
        <v>38.942307692307693</v>
      </c>
      <c r="K103" s="11">
        <f t="shared" si="5"/>
        <v>3.8942307692307693E-2</v>
      </c>
      <c r="L103" s="94" t="s">
        <v>253</v>
      </c>
      <c r="M103">
        <v>4.0999999999999996</v>
      </c>
    </row>
    <row r="104" spans="1:13" x14ac:dyDescent="0.2">
      <c r="A104" s="9">
        <v>109</v>
      </c>
      <c r="B104" s="9" t="s">
        <v>102</v>
      </c>
      <c r="C104">
        <v>2019198</v>
      </c>
      <c r="D104" s="1" t="s">
        <v>85</v>
      </c>
      <c r="E104" s="9">
        <v>0.23980000000000001</v>
      </c>
      <c r="F104" s="9" t="s">
        <v>40</v>
      </c>
      <c r="G104">
        <v>1</v>
      </c>
      <c r="H104" s="9">
        <v>8.44</v>
      </c>
      <c r="I104">
        <f t="shared" si="3"/>
        <v>8.44</v>
      </c>
      <c r="J104">
        <f t="shared" si="4"/>
        <v>35.195996663886568</v>
      </c>
      <c r="K104" s="11">
        <f t="shared" si="5"/>
        <v>3.5195996663886571E-2</v>
      </c>
      <c r="L104" s="94" t="s">
        <v>253</v>
      </c>
      <c r="M104">
        <v>2.4</v>
      </c>
    </row>
    <row r="105" spans="1:13" x14ac:dyDescent="0.2">
      <c r="A105" s="9">
        <v>110</v>
      </c>
      <c r="B105" s="9" t="s">
        <v>102</v>
      </c>
      <c r="C105">
        <v>2018158</v>
      </c>
      <c r="D105" s="1" t="s">
        <v>90</v>
      </c>
      <c r="E105" s="9">
        <v>0.14910000000000001</v>
      </c>
      <c r="F105" s="9" t="s">
        <v>27</v>
      </c>
      <c r="G105">
        <v>1</v>
      </c>
      <c r="H105" s="9">
        <v>46.55</v>
      </c>
      <c r="I105">
        <f t="shared" si="3"/>
        <v>46.55</v>
      </c>
      <c r="J105">
        <f t="shared" si="4"/>
        <v>312.20657276995303</v>
      </c>
      <c r="K105" s="11">
        <f t="shared" si="5"/>
        <v>0.31220657276995301</v>
      </c>
      <c r="L105" s="113" t="s">
        <v>255</v>
      </c>
      <c r="M105">
        <v>2.97</v>
      </c>
    </row>
    <row r="106" spans="1:13" x14ac:dyDescent="0.2">
      <c r="A106" s="9">
        <v>111</v>
      </c>
      <c r="B106" s="9" t="s">
        <v>102</v>
      </c>
      <c r="C106">
        <v>2018158</v>
      </c>
      <c r="D106" s="1" t="s">
        <v>85</v>
      </c>
      <c r="E106" s="9">
        <v>0.1171</v>
      </c>
      <c r="F106" s="9" t="s">
        <v>27</v>
      </c>
      <c r="G106">
        <v>1</v>
      </c>
      <c r="H106" s="9">
        <v>14.68</v>
      </c>
      <c r="I106">
        <f t="shared" si="3"/>
        <v>14.68</v>
      </c>
      <c r="J106">
        <f t="shared" si="4"/>
        <v>125.36293766011956</v>
      </c>
      <c r="K106" s="11">
        <f t="shared" si="5"/>
        <v>0.12536293766011955</v>
      </c>
      <c r="L106" s="113" t="s">
        <v>255</v>
      </c>
      <c r="M106">
        <v>2.2799999999999998</v>
      </c>
    </row>
    <row r="107" spans="1:13" x14ac:dyDescent="0.2">
      <c r="A107" s="9">
        <v>112</v>
      </c>
      <c r="B107" s="9" t="s">
        <v>102</v>
      </c>
      <c r="C107">
        <v>2019031</v>
      </c>
      <c r="D107" s="1" t="s">
        <v>97</v>
      </c>
      <c r="E107" s="9">
        <v>0.19550000000000001</v>
      </c>
      <c r="F107" s="9" t="s">
        <v>27</v>
      </c>
      <c r="G107">
        <v>1</v>
      </c>
      <c r="H107" s="9">
        <v>11.62</v>
      </c>
      <c r="I107">
        <f t="shared" si="3"/>
        <v>11.62</v>
      </c>
      <c r="J107">
        <f t="shared" si="4"/>
        <v>59.437340153452681</v>
      </c>
      <c r="K107" s="11">
        <f t="shared" si="5"/>
        <v>5.9437340153452679E-2</v>
      </c>
      <c r="L107" s="113" t="s">
        <v>255</v>
      </c>
      <c r="M107">
        <v>5.9</v>
      </c>
    </row>
    <row r="108" spans="1:13" x14ac:dyDescent="0.2">
      <c r="A108" s="9">
        <v>113</v>
      </c>
      <c r="B108" s="9" t="s">
        <v>102</v>
      </c>
      <c r="C108">
        <v>2019031</v>
      </c>
      <c r="D108" s="1" t="s">
        <v>98</v>
      </c>
      <c r="E108" s="9">
        <v>0.25140000000000001</v>
      </c>
      <c r="F108" s="9" t="s">
        <v>27</v>
      </c>
      <c r="G108">
        <v>1</v>
      </c>
      <c r="H108" s="9">
        <v>13.2</v>
      </c>
      <c r="I108">
        <f t="shared" si="3"/>
        <v>13.2</v>
      </c>
      <c r="J108">
        <f t="shared" si="4"/>
        <v>52.505966587112169</v>
      </c>
      <c r="K108" s="11">
        <f t="shared" si="5"/>
        <v>5.2505966587112173E-2</v>
      </c>
      <c r="L108" s="113" t="s">
        <v>255</v>
      </c>
      <c r="M108">
        <v>3.56</v>
      </c>
    </row>
    <row r="109" spans="1:13" x14ac:dyDescent="0.2">
      <c r="A109" s="9">
        <v>114</v>
      </c>
      <c r="B109" s="9" t="s">
        <v>102</v>
      </c>
      <c r="C109">
        <v>2019031</v>
      </c>
      <c r="D109" s="1" t="s">
        <v>90</v>
      </c>
      <c r="E109" s="9">
        <v>0.1714</v>
      </c>
      <c r="F109" s="9" t="s">
        <v>27</v>
      </c>
      <c r="G109">
        <v>1</v>
      </c>
      <c r="H109" s="9">
        <v>15.87</v>
      </c>
      <c r="I109">
        <f t="shared" si="3"/>
        <v>15.87</v>
      </c>
      <c r="J109">
        <f t="shared" si="4"/>
        <v>92.590431738623096</v>
      </c>
      <c r="K109" s="11">
        <f t="shared" si="5"/>
        <v>9.2590431738623094E-2</v>
      </c>
      <c r="L109" s="113" t="s">
        <v>255</v>
      </c>
      <c r="M109">
        <v>12.08</v>
      </c>
    </row>
    <row r="110" spans="1:13" x14ac:dyDescent="0.2">
      <c r="A110" s="9">
        <v>115</v>
      </c>
      <c r="B110" s="9" t="s">
        <v>102</v>
      </c>
      <c r="C110">
        <v>2019031</v>
      </c>
      <c r="D110" s="1" t="s">
        <v>85</v>
      </c>
      <c r="E110" s="9">
        <v>0.14610000000000001</v>
      </c>
      <c r="F110" s="9" t="s">
        <v>27</v>
      </c>
      <c r="G110">
        <v>1</v>
      </c>
      <c r="H110" s="9">
        <v>6.05</v>
      </c>
      <c r="I110">
        <f t="shared" ref="I110:I115" si="6">H110*G110</f>
        <v>6.05</v>
      </c>
      <c r="J110">
        <f t="shared" ref="J110:J115" si="7">I110/E110</f>
        <v>41.40999315537303</v>
      </c>
      <c r="K110" s="11">
        <f t="shared" ref="K110:K115" si="8">J110/1000</f>
        <v>4.1409993155373033E-2</v>
      </c>
      <c r="L110" s="113" t="s">
        <v>255</v>
      </c>
      <c r="M110">
        <v>1.1100000000000001</v>
      </c>
    </row>
    <row r="111" spans="1:13" x14ac:dyDescent="0.2">
      <c r="A111" s="9">
        <v>116</v>
      </c>
      <c r="B111" s="9" t="s">
        <v>102</v>
      </c>
      <c r="C111">
        <v>2019100</v>
      </c>
      <c r="D111" s="1" t="s">
        <v>90</v>
      </c>
      <c r="E111" s="9">
        <v>0.2029</v>
      </c>
      <c r="F111" s="9" t="s">
        <v>40</v>
      </c>
      <c r="G111">
        <v>1</v>
      </c>
      <c r="H111" s="9">
        <v>16.649999999999999</v>
      </c>
      <c r="I111">
        <f t="shared" si="6"/>
        <v>16.649999999999999</v>
      </c>
      <c r="J111">
        <f t="shared" si="7"/>
        <v>82.060128141941831</v>
      </c>
      <c r="K111" s="11">
        <f t="shared" si="8"/>
        <v>8.2060128141941829E-2</v>
      </c>
      <c r="L111" s="94" t="s">
        <v>253</v>
      </c>
      <c r="M111">
        <v>7.2</v>
      </c>
    </row>
    <row r="112" spans="1:13" x14ac:dyDescent="0.2">
      <c r="A112" s="9">
        <v>117</v>
      </c>
      <c r="B112" s="9" t="s">
        <v>102</v>
      </c>
      <c r="C112">
        <v>2019100</v>
      </c>
      <c r="D112" s="1" t="s">
        <v>91</v>
      </c>
      <c r="E112" s="9">
        <v>0.17419999999999999</v>
      </c>
      <c r="F112" s="9" t="s">
        <v>40</v>
      </c>
      <c r="G112">
        <v>1</v>
      </c>
      <c r="H112" s="9">
        <v>2.83</v>
      </c>
      <c r="I112">
        <f t="shared" si="6"/>
        <v>2.83</v>
      </c>
      <c r="J112">
        <f t="shared" si="7"/>
        <v>16.245694603903559</v>
      </c>
      <c r="K112" s="11">
        <f t="shared" si="8"/>
        <v>1.6245694603903557E-2</v>
      </c>
      <c r="L112" s="94" t="s">
        <v>253</v>
      </c>
      <c r="M112">
        <v>2.6</v>
      </c>
    </row>
    <row r="113" spans="1:13" x14ac:dyDescent="0.2">
      <c r="A113" s="9">
        <v>118</v>
      </c>
      <c r="B113" s="9" t="s">
        <v>102</v>
      </c>
      <c r="C113">
        <v>2019100</v>
      </c>
      <c r="D113" s="1" t="s">
        <v>85</v>
      </c>
      <c r="E113" s="9">
        <v>0.30380000000000001</v>
      </c>
      <c r="F113" s="9" t="s">
        <v>40</v>
      </c>
      <c r="G113">
        <v>1</v>
      </c>
      <c r="H113" s="9">
        <v>5.85</v>
      </c>
      <c r="I113">
        <f t="shared" si="6"/>
        <v>5.85</v>
      </c>
      <c r="J113">
        <f t="shared" si="7"/>
        <v>19.256089532587225</v>
      </c>
      <c r="K113" s="11">
        <f t="shared" si="8"/>
        <v>1.9256089532587225E-2</v>
      </c>
      <c r="L113" s="94" t="s">
        <v>253</v>
      </c>
      <c r="M113">
        <v>0.8</v>
      </c>
    </row>
    <row r="114" spans="1:13" x14ac:dyDescent="0.2">
      <c r="A114" s="9">
        <v>119</v>
      </c>
      <c r="B114" s="9" t="s">
        <v>102</v>
      </c>
      <c r="C114">
        <v>2019018</v>
      </c>
      <c r="D114" s="1" t="s">
        <v>90</v>
      </c>
      <c r="E114" s="9">
        <v>0.24590000000000001</v>
      </c>
      <c r="F114" t="s">
        <v>40</v>
      </c>
      <c r="G114">
        <v>1</v>
      </c>
      <c r="H114" s="9">
        <v>40.46</v>
      </c>
      <c r="I114">
        <f t="shared" si="6"/>
        <v>40.46</v>
      </c>
      <c r="J114">
        <f t="shared" si="7"/>
        <v>164.53843025620171</v>
      </c>
      <c r="K114" s="11">
        <f t="shared" si="8"/>
        <v>0.16453843025620171</v>
      </c>
      <c r="L114" s="94" t="s">
        <v>253</v>
      </c>
      <c r="M114">
        <v>3.3</v>
      </c>
    </row>
    <row r="115" spans="1:13" x14ac:dyDescent="0.2">
      <c r="A115" s="9">
        <v>120</v>
      </c>
      <c r="B115" s="9" t="s">
        <v>102</v>
      </c>
      <c r="C115">
        <v>2019018</v>
      </c>
      <c r="D115" s="1" t="s">
        <v>91</v>
      </c>
      <c r="E115" s="9">
        <v>0.32440000000000002</v>
      </c>
      <c r="F115" t="s">
        <v>40</v>
      </c>
      <c r="G115">
        <v>1</v>
      </c>
      <c r="H115" s="9">
        <v>23.41</v>
      </c>
      <c r="I115">
        <f t="shared" si="6"/>
        <v>23.41</v>
      </c>
      <c r="J115">
        <f t="shared" si="7"/>
        <v>72.16399506781751</v>
      </c>
      <c r="K115" s="11">
        <f t="shared" si="8"/>
        <v>7.216399506781751E-2</v>
      </c>
      <c r="L115" s="94" t="s">
        <v>253</v>
      </c>
      <c r="M115">
        <v>3.1</v>
      </c>
    </row>
    <row r="116" spans="1:13" s="88" customFormat="1" x14ac:dyDescent="0.2">
      <c r="A116" s="87">
        <v>121</v>
      </c>
      <c r="B116" s="87" t="s">
        <v>102</v>
      </c>
      <c r="C116" s="88">
        <v>2019018</v>
      </c>
      <c r="D116" s="89" t="s">
        <v>85</v>
      </c>
      <c r="E116" s="87">
        <v>0.1434</v>
      </c>
      <c r="F116" s="88" t="s">
        <v>40</v>
      </c>
      <c r="G116" s="88">
        <v>1</v>
      </c>
      <c r="L116" s="94" t="s">
        <v>253</v>
      </c>
    </row>
    <row r="117" spans="1:13" x14ac:dyDescent="0.2">
      <c r="A117" s="9">
        <v>122</v>
      </c>
      <c r="B117" s="9" t="s">
        <v>102</v>
      </c>
      <c r="E117" s="20">
        <v>0.14560000000000001</v>
      </c>
      <c r="F117" t="s">
        <v>27</v>
      </c>
      <c r="L117" s="94" t="s">
        <v>253</v>
      </c>
    </row>
    <row r="118" spans="1:13" x14ac:dyDescent="0.2">
      <c r="A118" s="9">
        <v>123</v>
      </c>
      <c r="B118" s="9" t="s">
        <v>102</v>
      </c>
      <c r="E118" s="56">
        <v>0.20069999999999999</v>
      </c>
      <c r="F118" t="s">
        <v>27</v>
      </c>
      <c r="L118" s="94" t="s">
        <v>253</v>
      </c>
    </row>
  </sheetData>
  <autoFilter ref="A1:O118" xr:uid="{1EFD6965-D3CA-3B42-8079-2D013EA60A2A}"/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9C49-1495-8A40-AA03-F93DB777EBAA}">
  <dimension ref="A1:G41"/>
  <sheetViews>
    <sheetView topLeftCell="A17" zoomScale="209" workbookViewId="0">
      <selection activeCell="A28" sqref="A28"/>
    </sheetView>
  </sheetViews>
  <sheetFormatPr baseColWidth="10" defaultRowHeight="16" x14ac:dyDescent="0.2"/>
  <cols>
    <col min="1" max="1" width="15.1640625" customWidth="1"/>
    <col min="2" max="2" width="10.5" customWidth="1"/>
    <col min="3" max="3" width="12.1640625" customWidth="1"/>
    <col min="4" max="4" width="6.6640625" customWidth="1"/>
    <col min="5" max="5" width="8.5" customWidth="1"/>
    <col min="6" max="6" width="17.83203125" customWidth="1"/>
    <col min="7" max="7" width="18.83203125" customWidth="1"/>
  </cols>
  <sheetData>
    <row r="1" spans="1:7" x14ac:dyDescent="0.2">
      <c r="A1" s="85" t="s">
        <v>233</v>
      </c>
      <c r="B1" s="85" t="s">
        <v>232</v>
      </c>
      <c r="C1" s="85" t="s">
        <v>120</v>
      </c>
      <c r="D1" s="85" t="s">
        <v>3</v>
      </c>
      <c r="E1" s="85" t="s">
        <v>231</v>
      </c>
      <c r="F1" s="85" t="s">
        <v>230</v>
      </c>
      <c r="G1" s="85" t="s">
        <v>5</v>
      </c>
    </row>
    <row r="2" spans="1:7" x14ac:dyDescent="0.2">
      <c r="A2" s="82">
        <v>2017109</v>
      </c>
      <c r="B2" s="82" t="s">
        <v>199</v>
      </c>
      <c r="C2" s="83">
        <v>42944</v>
      </c>
      <c r="D2" s="83" t="s">
        <v>27</v>
      </c>
      <c r="E2" s="83"/>
      <c r="F2" s="80" t="s">
        <v>207</v>
      </c>
      <c r="G2" s="79" t="s">
        <v>234</v>
      </c>
    </row>
    <row r="3" spans="1:7" x14ac:dyDescent="0.2">
      <c r="A3" s="82">
        <v>2018088</v>
      </c>
      <c r="B3" s="82" t="s">
        <v>199</v>
      </c>
      <c r="C3" s="83">
        <v>43279</v>
      </c>
      <c r="D3" s="83" t="s">
        <v>27</v>
      </c>
      <c r="E3" s="83" t="s">
        <v>190</v>
      </c>
      <c r="F3" s="80" t="s">
        <v>206</v>
      </c>
      <c r="G3" s="79" t="s">
        <v>109</v>
      </c>
    </row>
    <row r="4" spans="1:7" x14ac:dyDescent="0.2">
      <c r="A4" s="82">
        <v>2018158</v>
      </c>
      <c r="B4" s="82" t="s">
        <v>199</v>
      </c>
      <c r="C4" s="83">
        <v>43314</v>
      </c>
      <c r="D4" s="83" t="s">
        <v>27</v>
      </c>
      <c r="E4" s="83" t="s">
        <v>198</v>
      </c>
      <c r="F4" s="80" t="s">
        <v>206</v>
      </c>
      <c r="G4" s="79" t="s">
        <v>234</v>
      </c>
    </row>
    <row r="5" spans="1:7" x14ac:dyDescent="0.2">
      <c r="A5" s="82">
        <v>2019018</v>
      </c>
      <c r="B5" s="82" t="s">
        <v>199</v>
      </c>
      <c r="C5" s="83">
        <v>43594</v>
      </c>
      <c r="D5" s="83" t="s">
        <v>40</v>
      </c>
      <c r="E5" s="83" t="s">
        <v>190</v>
      </c>
      <c r="F5" s="80" t="s">
        <v>203</v>
      </c>
      <c r="G5" s="79" t="s">
        <v>201</v>
      </c>
    </row>
    <row r="6" spans="1:7" x14ac:dyDescent="0.2">
      <c r="A6" s="82">
        <v>2019031</v>
      </c>
      <c r="B6" s="82" t="s">
        <v>199</v>
      </c>
      <c r="C6" s="83">
        <v>43599</v>
      </c>
      <c r="D6" s="83" t="s">
        <v>27</v>
      </c>
      <c r="E6" s="83" t="s">
        <v>190</v>
      </c>
      <c r="F6" s="80" t="s">
        <v>205</v>
      </c>
      <c r="G6" s="79" t="s">
        <v>201</v>
      </c>
    </row>
    <row r="7" spans="1:7" x14ac:dyDescent="0.2">
      <c r="A7" s="82">
        <v>2019100</v>
      </c>
      <c r="B7" s="82" t="s">
        <v>199</v>
      </c>
      <c r="C7" s="83">
        <v>43632</v>
      </c>
      <c r="D7" s="83" t="s">
        <v>40</v>
      </c>
      <c r="E7" s="83" t="s">
        <v>38</v>
      </c>
      <c r="F7" s="80" t="s">
        <v>204</v>
      </c>
      <c r="G7" s="79" t="s">
        <v>201</v>
      </c>
    </row>
    <row r="8" spans="1:7" x14ac:dyDescent="0.2">
      <c r="A8" s="82">
        <v>2019198</v>
      </c>
      <c r="B8" s="82" t="s">
        <v>199</v>
      </c>
      <c r="C8" s="83">
        <v>43594</v>
      </c>
      <c r="D8" s="83" t="s">
        <v>40</v>
      </c>
      <c r="E8" s="83" t="s">
        <v>38</v>
      </c>
      <c r="F8" s="80" t="s">
        <v>202</v>
      </c>
      <c r="G8" s="83" t="s">
        <v>234</v>
      </c>
    </row>
    <row r="9" spans="1:7" x14ac:dyDescent="0.2">
      <c r="A9" s="78" t="s">
        <v>159</v>
      </c>
      <c r="B9" s="82" t="s">
        <v>199</v>
      </c>
      <c r="C9" s="84">
        <v>40282</v>
      </c>
      <c r="D9" s="84" t="s">
        <v>40</v>
      </c>
      <c r="E9" s="84" t="s">
        <v>190</v>
      </c>
      <c r="F9" s="82" t="s">
        <v>217</v>
      </c>
      <c r="G9" s="84" t="s">
        <v>35</v>
      </c>
    </row>
    <row r="10" spans="1:7" x14ac:dyDescent="0.2">
      <c r="A10" s="82" t="s">
        <v>158</v>
      </c>
      <c r="B10" s="82" t="s">
        <v>199</v>
      </c>
      <c r="C10" s="83">
        <v>40653</v>
      </c>
      <c r="D10" s="83" t="s">
        <v>27</v>
      </c>
      <c r="E10" s="83" t="s">
        <v>190</v>
      </c>
      <c r="F10" s="82" t="s">
        <v>219</v>
      </c>
      <c r="G10" s="84" t="s">
        <v>35</v>
      </c>
    </row>
    <row r="11" spans="1:7" x14ac:dyDescent="0.2">
      <c r="A11" s="78" t="s">
        <v>156</v>
      </c>
      <c r="B11" s="82" t="s">
        <v>199</v>
      </c>
      <c r="C11" s="84">
        <v>41485</v>
      </c>
      <c r="D11" s="84" t="s">
        <v>27</v>
      </c>
      <c r="E11" s="84" t="s">
        <v>190</v>
      </c>
      <c r="F11" s="78" t="s">
        <v>220</v>
      </c>
      <c r="G11" s="84" t="s">
        <v>37</v>
      </c>
    </row>
    <row r="12" spans="1:7" x14ac:dyDescent="0.2">
      <c r="A12" s="82" t="s">
        <v>155</v>
      </c>
      <c r="B12" s="82" t="s">
        <v>199</v>
      </c>
      <c r="C12" s="83">
        <v>41871</v>
      </c>
      <c r="D12" s="83" t="s">
        <v>27</v>
      </c>
      <c r="E12" s="83" t="s">
        <v>30</v>
      </c>
      <c r="F12" s="82" t="s">
        <v>222</v>
      </c>
      <c r="G12" s="83" t="s">
        <v>221</v>
      </c>
    </row>
    <row r="13" spans="1:7" x14ac:dyDescent="0.2">
      <c r="A13" s="82" t="s">
        <v>154</v>
      </c>
      <c r="B13" s="82" t="s">
        <v>199</v>
      </c>
      <c r="C13" s="83">
        <v>42490</v>
      </c>
      <c r="D13" s="83" t="s">
        <v>27</v>
      </c>
      <c r="E13" s="83" t="s">
        <v>38</v>
      </c>
      <c r="F13" s="82" t="s">
        <v>217</v>
      </c>
      <c r="G13" s="83" t="s">
        <v>37</v>
      </c>
    </row>
    <row r="14" spans="1:7" x14ac:dyDescent="0.2">
      <c r="A14" s="82" t="s">
        <v>152</v>
      </c>
      <c r="B14" s="82" t="s">
        <v>199</v>
      </c>
      <c r="C14" s="83">
        <v>42865</v>
      </c>
      <c r="D14" s="83" t="s">
        <v>27</v>
      </c>
      <c r="E14" s="83" t="s">
        <v>190</v>
      </c>
      <c r="F14" s="82" t="s">
        <v>225</v>
      </c>
      <c r="G14" s="83" t="s">
        <v>224</v>
      </c>
    </row>
    <row r="15" spans="1:7" x14ac:dyDescent="0.2">
      <c r="A15" s="82" t="s">
        <v>151</v>
      </c>
      <c r="B15" s="82" t="s">
        <v>199</v>
      </c>
      <c r="C15" s="83">
        <v>42879</v>
      </c>
      <c r="D15" s="83" t="s">
        <v>27</v>
      </c>
      <c r="E15" s="83" t="s">
        <v>38</v>
      </c>
      <c r="F15" s="82" t="s">
        <v>210</v>
      </c>
      <c r="G15" s="83" t="s">
        <v>37</v>
      </c>
    </row>
    <row r="16" spans="1:7" x14ac:dyDescent="0.2">
      <c r="A16" s="82" t="s">
        <v>150</v>
      </c>
      <c r="B16" s="82" t="s">
        <v>199</v>
      </c>
      <c r="C16" s="83">
        <v>42935</v>
      </c>
      <c r="D16" s="83" t="s">
        <v>27</v>
      </c>
      <c r="E16" s="83" t="s">
        <v>30</v>
      </c>
      <c r="F16" s="82" t="s">
        <v>226</v>
      </c>
      <c r="G16" s="83" t="s">
        <v>37</v>
      </c>
    </row>
    <row r="17" spans="1:7" x14ac:dyDescent="0.2">
      <c r="A17" s="82" t="s">
        <v>148</v>
      </c>
      <c r="B17" s="82" t="s">
        <v>199</v>
      </c>
      <c r="C17" s="83">
        <v>43210</v>
      </c>
      <c r="D17" s="83" t="s">
        <v>27</v>
      </c>
      <c r="E17" s="83" t="s">
        <v>190</v>
      </c>
      <c r="F17" s="82" t="s">
        <v>228</v>
      </c>
      <c r="G17" s="83" t="s">
        <v>224</v>
      </c>
    </row>
    <row r="18" spans="1:7" x14ac:dyDescent="0.2">
      <c r="A18" s="82" t="s">
        <v>147</v>
      </c>
      <c r="B18" s="82" t="s">
        <v>199</v>
      </c>
      <c r="C18" s="83">
        <v>43228</v>
      </c>
      <c r="D18" s="83" t="s">
        <v>27</v>
      </c>
      <c r="E18" s="83" t="s">
        <v>190</v>
      </c>
      <c r="F18" s="82" t="s">
        <v>229</v>
      </c>
      <c r="G18" s="83" t="s">
        <v>224</v>
      </c>
    </row>
    <row r="19" spans="1:7" x14ac:dyDescent="0.2">
      <c r="A19" s="82" t="s">
        <v>145</v>
      </c>
      <c r="B19" s="82" t="s">
        <v>199</v>
      </c>
      <c r="C19" s="83">
        <v>43279</v>
      </c>
      <c r="D19" s="83" t="s">
        <v>27</v>
      </c>
      <c r="E19" s="83" t="s">
        <v>38</v>
      </c>
      <c r="F19" s="82" t="s">
        <v>212</v>
      </c>
      <c r="G19" s="83" t="s">
        <v>37</v>
      </c>
    </row>
    <row r="20" spans="1:7" x14ac:dyDescent="0.2">
      <c r="A20" s="78" t="s">
        <v>162</v>
      </c>
      <c r="B20" s="82" t="s">
        <v>199</v>
      </c>
      <c r="C20" s="84">
        <v>43569</v>
      </c>
      <c r="D20" s="84" t="s">
        <v>40</v>
      </c>
      <c r="E20" s="84" t="s">
        <v>190</v>
      </c>
      <c r="F20" s="78" t="s">
        <v>217</v>
      </c>
      <c r="G20" s="79" t="s">
        <v>201</v>
      </c>
    </row>
    <row r="21" spans="1:7" x14ac:dyDescent="0.2">
      <c r="A21" s="78" t="s">
        <v>163</v>
      </c>
      <c r="B21" s="82" t="s">
        <v>199</v>
      </c>
      <c r="C21" s="84">
        <v>43573</v>
      </c>
      <c r="D21" s="84" t="s">
        <v>27</v>
      </c>
      <c r="E21" s="84" t="s">
        <v>104</v>
      </c>
      <c r="F21" s="78" t="s">
        <v>212</v>
      </c>
      <c r="G21" s="79" t="s">
        <v>201</v>
      </c>
    </row>
    <row r="22" spans="1:7" x14ac:dyDescent="0.2">
      <c r="A22" s="78" t="s">
        <v>167</v>
      </c>
      <c r="B22" s="82" t="s">
        <v>199</v>
      </c>
      <c r="C22" s="84">
        <v>43594</v>
      </c>
      <c r="D22" s="84" t="s">
        <v>40</v>
      </c>
      <c r="E22" s="84" t="s">
        <v>104</v>
      </c>
      <c r="F22" s="78" t="s">
        <v>212</v>
      </c>
      <c r="G22" s="79" t="s">
        <v>201</v>
      </c>
    </row>
    <row r="23" spans="1:7" x14ac:dyDescent="0.2">
      <c r="A23" s="78" t="s">
        <v>168</v>
      </c>
      <c r="B23" s="82" t="s">
        <v>199</v>
      </c>
      <c r="C23" s="84">
        <v>43600</v>
      </c>
      <c r="D23" s="84" t="s">
        <v>27</v>
      </c>
      <c r="E23" s="84" t="s">
        <v>104</v>
      </c>
      <c r="F23" s="78" t="s">
        <v>212</v>
      </c>
      <c r="G23" s="79" t="s">
        <v>201</v>
      </c>
    </row>
    <row r="24" spans="1:7" x14ac:dyDescent="0.2">
      <c r="A24" s="78" t="s">
        <v>169</v>
      </c>
      <c r="B24" s="82" t="s">
        <v>199</v>
      </c>
      <c r="C24" s="84">
        <v>43601</v>
      </c>
      <c r="D24" s="84" t="s">
        <v>27</v>
      </c>
      <c r="E24" s="84" t="s">
        <v>190</v>
      </c>
      <c r="F24" s="78" t="s">
        <v>210</v>
      </c>
      <c r="G24" s="79" t="s">
        <v>201</v>
      </c>
    </row>
    <row r="25" spans="1:7" x14ac:dyDescent="0.2">
      <c r="A25" s="78" t="s">
        <v>170</v>
      </c>
      <c r="B25" s="82" t="s">
        <v>199</v>
      </c>
      <c r="C25" s="84">
        <v>43611</v>
      </c>
      <c r="D25" s="84" t="s">
        <v>40</v>
      </c>
      <c r="E25" s="84" t="s">
        <v>190</v>
      </c>
      <c r="F25" s="78" t="s">
        <v>211</v>
      </c>
      <c r="G25" s="79" t="s">
        <v>201</v>
      </c>
    </row>
    <row r="26" spans="1:7" x14ac:dyDescent="0.2">
      <c r="A26" s="78" t="s">
        <v>171</v>
      </c>
      <c r="B26" s="82" t="s">
        <v>199</v>
      </c>
      <c r="C26" s="84">
        <v>43617</v>
      </c>
      <c r="D26" s="84" t="s">
        <v>40</v>
      </c>
      <c r="E26" s="84" t="s">
        <v>190</v>
      </c>
      <c r="F26" s="78" t="s">
        <v>210</v>
      </c>
      <c r="G26" s="79" t="s">
        <v>201</v>
      </c>
    </row>
    <row r="27" spans="1:7" x14ac:dyDescent="0.2">
      <c r="A27" s="78" t="s">
        <v>173</v>
      </c>
      <c r="B27" s="82" t="s">
        <v>199</v>
      </c>
      <c r="C27" s="84">
        <v>43652</v>
      </c>
      <c r="D27" s="84" t="s">
        <v>40</v>
      </c>
      <c r="E27" s="84" t="s">
        <v>190</v>
      </c>
      <c r="F27" s="78" t="s">
        <v>208</v>
      </c>
      <c r="G27" s="79" t="s">
        <v>201</v>
      </c>
    </row>
    <row r="28" spans="1:7" x14ac:dyDescent="0.2">
      <c r="A28" s="79" t="s">
        <v>200</v>
      </c>
      <c r="B28" s="82" t="s">
        <v>199</v>
      </c>
      <c r="C28" s="83">
        <v>37789</v>
      </c>
      <c r="D28" s="83" t="s">
        <v>40</v>
      </c>
      <c r="E28" s="83" t="s">
        <v>198</v>
      </c>
      <c r="F28" s="80" t="s">
        <v>197</v>
      </c>
      <c r="G28" s="83"/>
    </row>
    <row r="29" spans="1:7" x14ac:dyDescent="0.2">
      <c r="A29" s="78" t="s">
        <v>194</v>
      </c>
      <c r="B29" s="82" t="s">
        <v>191</v>
      </c>
      <c r="C29" s="81">
        <v>40848</v>
      </c>
      <c r="D29" s="81" t="s">
        <v>40</v>
      </c>
      <c r="E29" s="79" t="s">
        <v>104</v>
      </c>
      <c r="F29" s="80" t="s">
        <v>193</v>
      </c>
      <c r="G29" s="79" t="s">
        <v>188</v>
      </c>
    </row>
    <row r="30" spans="1:7" x14ac:dyDescent="0.2">
      <c r="A30" s="78" t="s">
        <v>192</v>
      </c>
      <c r="B30" s="82" t="s">
        <v>191</v>
      </c>
      <c r="C30" s="81">
        <v>39333</v>
      </c>
      <c r="D30" s="81" t="s">
        <v>40</v>
      </c>
      <c r="E30" s="79" t="s">
        <v>190</v>
      </c>
      <c r="F30" s="80" t="s">
        <v>189</v>
      </c>
      <c r="G30" s="79" t="s">
        <v>188</v>
      </c>
    </row>
    <row r="31" spans="1:7" x14ac:dyDescent="0.2">
      <c r="A31" s="82" t="s">
        <v>149</v>
      </c>
      <c r="B31" s="82" t="s">
        <v>199</v>
      </c>
      <c r="C31" s="83">
        <v>43205</v>
      </c>
      <c r="D31" s="83" t="s">
        <v>40</v>
      </c>
      <c r="E31" s="83" t="s">
        <v>30</v>
      </c>
      <c r="F31" s="82" t="s">
        <v>227</v>
      </c>
      <c r="G31" s="83" t="s">
        <v>41</v>
      </c>
    </row>
    <row r="32" spans="1:7" x14ac:dyDescent="0.2">
      <c r="A32" s="78" t="s">
        <v>164</v>
      </c>
      <c r="B32" s="82" t="s">
        <v>199</v>
      </c>
      <c r="C32" s="84">
        <v>43557</v>
      </c>
      <c r="D32" s="84" t="s">
        <v>27</v>
      </c>
      <c r="E32" s="84" t="s">
        <v>190</v>
      </c>
      <c r="F32" s="78" t="s">
        <v>216</v>
      </c>
      <c r="G32" s="79" t="s">
        <v>201</v>
      </c>
    </row>
    <row r="33" spans="1:7" x14ac:dyDescent="0.2">
      <c r="A33" s="78" t="s">
        <v>165</v>
      </c>
      <c r="B33" s="82" t="s">
        <v>199</v>
      </c>
      <c r="C33" s="84">
        <v>43572</v>
      </c>
      <c r="D33" s="84" t="s">
        <v>27</v>
      </c>
      <c r="E33" s="84" t="s">
        <v>190</v>
      </c>
      <c r="F33" s="78" t="s">
        <v>216</v>
      </c>
      <c r="G33" s="79" t="s">
        <v>201</v>
      </c>
    </row>
    <row r="34" spans="1:7" x14ac:dyDescent="0.2">
      <c r="A34" s="78" t="s">
        <v>215</v>
      </c>
      <c r="B34" s="82" t="s">
        <v>199</v>
      </c>
      <c r="C34" s="84">
        <v>43585</v>
      </c>
      <c r="D34" s="84" t="s">
        <v>27</v>
      </c>
      <c r="E34" s="84" t="s">
        <v>190</v>
      </c>
      <c r="F34" s="78" t="s">
        <v>214</v>
      </c>
      <c r="G34" s="79" t="s">
        <v>201</v>
      </c>
    </row>
    <row r="35" spans="1:7" x14ac:dyDescent="0.2">
      <c r="A35" s="78" t="s">
        <v>101</v>
      </c>
      <c r="B35" s="82" t="s">
        <v>199</v>
      </c>
      <c r="C35" s="84">
        <v>43590</v>
      </c>
      <c r="D35" s="84" t="s">
        <v>27</v>
      </c>
      <c r="E35" s="84" t="s">
        <v>190</v>
      </c>
      <c r="F35" s="78" t="s">
        <v>213</v>
      </c>
      <c r="G35" s="79" t="s">
        <v>201</v>
      </c>
    </row>
    <row r="36" spans="1:7" x14ac:dyDescent="0.2">
      <c r="A36" s="78" t="s">
        <v>196</v>
      </c>
      <c r="B36" s="82" t="s">
        <v>191</v>
      </c>
      <c r="C36" s="81">
        <v>40471</v>
      </c>
      <c r="D36" s="81" t="s">
        <v>27</v>
      </c>
      <c r="E36" s="79" t="s">
        <v>190</v>
      </c>
      <c r="F36" s="80" t="s">
        <v>195</v>
      </c>
      <c r="G36" s="79" t="s">
        <v>188</v>
      </c>
    </row>
    <row r="37" spans="1:7" x14ac:dyDescent="0.2">
      <c r="A37" s="82" t="s">
        <v>153</v>
      </c>
      <c r="B37" s="82" t="s">
        <v>199</v>
      </c>
      <c r="C37" s="83">
        <v>42857</v>
      </c>
      <c r="D37" s="83" t="s">
        <v>40</v>
      </c>
      <c r="E37" s="83" t="s">
        <v>43</v>
      </c>
      <c r="F37" s="82" t="s">
        <v>223</v>
      </c>
      <c r="G37" s="83" t="s">
        <v>41</v>
      </c>
    </row>
    <row r="38" spans="1:7" x14ac:dyDescent="0.2">
      <c r="A38" s="78" t="s">
        <v>160</v>
      </c>
      <c r="B38" s="82" t="s">
        <v>199</v>
      </c>
      <c r="C38" s="84">
        <v>43519</v>
      </c>
      <c r="D38" s="84" t="s">
        <v>27</v>
      </c>
      <c r="E38" s="84" t="s">
        <v>104</v>
      </c>
      <c r="F38" s="78" t="s">
        <v>218</v>
      </c>
      <c r="G38" s="79" t="s">
        <v>201</v>
      </c>
    </row>
    <row r="39" spans="1:7" x14ac:dyDescent="0.2">
      <c r="A39" s="78" t="s">
        <v>172</v>
      </c>
      <c r="B39" s="82" t="s">
        <v>199</v>
      </c>
      <c r="C39" s="84">
        <v>43619</v>
      </c>
      <c r="D39" s="84" t="s">
        <v>40</v>
      </c>
      <c r="E39" s="84" t="s">
        <v>104</v>
      </c>
      <c r="F39" s="78" t="s">
        <v>209</v>
      </c>
      <c r="G39" s="79" t="s">
        <v>201</v>
      </c>
    </row>
    <row r="40" spans="1:7" x14ac:dyDescent="0.2">
      <c r="A40" s="77" t="s">
        <v>157</v>
      </c>
      <c r="B40" s="82" t="s">
        <v>199</v>
      </c>
      <c r="C40" s="86">
        <v>40721</v>
      </c>
      <c r="D40" s="77" t="s">
        <v>40</v>
      </c>
      <c r="E40" s="77" t="s">
        <v>104</v>
      </c>
      <c r="F40" s="77"/>
      <c r="G40" s="77" t="s">
        <v>37</v>
      </c>
    </row>
    <row r="41" spans="1:7" x14ac:dyDescent="0.2">
      <c r="A41" s="78" t="s">
        <v>187</v>
      </c>
      <c r="B41" s="77"/>
      <c r="C41" s="77"/>
      <c r="D41" s="77"/>
      <c r="E41" s="77"/>
      <c r="F41" s="77"/>
      <c r="G41" s="77"/>
    </row>
  </sheetData>
  <autoFilter ref="A1:G39" xr:uid="{FD8AA9D2-FE2E-6B4C-A70D-B8A6B9383BB5}"/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380C-18E3-FA4A-8552-93725D7BE0BF}">
  <dimension ref="A1:H3"/>
  <sheetViews>
    <sheetView workbookViewId="0">
      <selection activeCell="B7" sqref="B7"/>
    </sheetView>
  </sheetViews>
  <sheetFormatPr baseColWidth="10" defaultRowHeight="16" x14ac:dyDescent="0.2"/>
  <cols>
    <col min="2" max="2" width="17" customWidth="1"/>
    <col min="6" max="6" width="24" customWidth="1"/>
  </cols>
  <sheetData>
    <row r="1" spans="1:8" x14ac:dyDescent="0.2">
      <c r="B1" t="s">
        <v>241</v>
      </c>
      <c r="C1" t="s">
        <v>242</v>
      </c>
      <c r="D1" t="s">
        <v>244</v>
      </c>
      <c r="F1" t="s">
        <v>245</v>
      </c>
      <c r="G1" t="s">
        <v>246</v>
      </c>
      <c r="H1" t="s">
        <v>247</v>
      </c>
    </row>
    <row r="2" spans="1:8" x14ac:dyDescent="0.2">
      <c r="A2" t="s">
        <v>239</v>
      </c>
      <c r="B2">
        <v>542.88</v>
      </c>
      <c r="C2">
        <v>398.2</v>
      </c>
      <c r="D2">
        <v>1544.3</v>
      </c>
      <c r="E2" s="90">
        <v>4.3055555555555555E-2</v>
      </c>
      <c r="F2">
        <f>AVERAGE(B2:C2)</f>
        <v>470.53999999999996</v>
      </c>
      <c r="G2">
        <f>STDEV(B2:C2)</f>
        <v>102.30420910206981</v>
      </c>
      <c r="H2" s="112">
        <f>G2/F2</f>
        <v>0.21741872976169893</v>
      </c>
    </row>
    <row r="3" spans="1:8" x14ac:dyDescent="0.2">
      <c r="A3" t="s">
        <v>240</v>
      </c>
      <c r="B3">
        <v>74.77</v>
      </c>
      <c r="C3">
        <v>58.1</v>
      </c>
      <c r="D3">
        <v>183.6</v>
      </c>
      <c r="E3" s="90">
        <v>4.5138888888888888E-2</v>
      </c>
      <c r="F3">
        <f>AVERAGE(B3:C3)</f>
        <v>66.435000000000002</v>
      </c>
      <c r="G3">
        <f>STDEV(B3:C3)</f>
        <v>11.787470042379708</v>
      </c>
      <c r="H3" s="112">
        <f>G3/F3</f>
        <v>0.17742861507307453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EXTRACTS</vt:lpstr>
      <vt:lpstr>starnded</vt:lpstr>
      <vt:lpstr>Sheet1</vt:lpstr>
      <vt:lpstr>SUMMARY</vt:lpstr>
      <vt:lpstr>CORTISOL</vt:lpstr>
      <vt:lpstr>ISWE</vt:lpstr>
      <vt:lpstr>CTN</vt:lpstr>
      <vt:lpstr>ProgSTRANDED</vt:lpstr>
      <vt:lpstr>ALDOSTERONE</vt:lpstr>
      <vt:lpstr>Sheet1 (2)</vt:lpstr>
      <vt:lpstr>Inter-assay 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Melica</dc:creator>
  <cp:lastModifiedBy>Valentina Melica</cp:lastModifiedBy>
  <dcterms:created xsi:type="dcterms:W3CDTF">2019-01-16T22:11:14Z</dcterms:created>
  <dcterms:modified xsi:type="dcterms:W3CDTF">2025-01-19T05:11:59Z</dcterms:modified>
</cp:coreProperties>
</file>