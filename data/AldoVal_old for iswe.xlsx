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valentinamelica/R/Grey-Whale/data/"/>
    </mc:Choice>
  </mc:AlternateContent>
  <xr:revisionPtr revIDLastSave="0" documentId="8_{1218E668-5E60-324D-AC37-44AFB64B0CC1}" xr6:coauthVersionLast="47" xr6:coauthVersionMax="47" xr10:uidLastSave="{00000000-0000-0000-0000-000000000000}"/>
  <bookViews>
    <workbookView xWindow="1160" yWindow="720" windowWidth="27640" windowHeight="16820" tabRatio="500" activeTab="1" xr2:uid="{00000000-000D-0000-FFFF-FFFF00000000}"/>
  </bookViews>
  <sheets>
    <sheet name="Sheet1" sheetId="1" r:id="rId1"/>
    <sheet name="Sheet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4" i="1"/>
  <c r="P5" i="1"/>
  <c r="P6" i="1"/>
  <c r="P7" i="1"/>
  <c r="P8" i="1"/>
  <c r="P9" i="1"/>
  <c r="P4" i="1"/>
  <c r="M5" i="1"/>
  <c r="M6" i="1"/>
  <c r="M7" i="1"/>
  <c r="M8" i="1"/>
  <c r="M9" i="1"/>
  <c r="M4" i="1"/>
  <c r="K5" i="1"/>
  <c r="K6" i="1"/>
  <c r="K7" i="1"/>
  <c r="K8" i="1"/>
  <c r="K9" i="1"/>
  <c r="K4" i="1"/>
</calcChain>
</file>

<file path=xl/sharedStrings.xml><?xml version="1.0" encoding="utf-8"?>
<sst xmlns="http://schemas.openxmlformats.org/spreadsheetml/2006/main" count="17" uniqueCount="14">
  <si>
    <t>BLUBBER</t>
  </si>
  <si>
    <t>PARALLELISM</t>
  </si>
  <si>
    <t>STD</t>
  </si>
  <si>
    <t>LOG STD</t>
  </si>
  <si>
    <t>STD ABSORBANCE</t>
  </si>
  <si>
    <t>SAMPLE ABS</t>
  </si>
  <si>
    <t>F</t>
  </si>
  <si>
    <t>M</t>
  </si>
  <si>
    <t>ACCURACY</t>
  </si>
  <si>
    <t>Expected</t>
  </si>
  <si>
    <t>measured</t>
  </si>
  <si>
    <t>OBServed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</si>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</sst>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2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Aldosterone</a:t>
            </a:r>
            <a:r>
              <a:rPr lang="en-US" baseline="0"/>
              <a:t> Parallelism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28173158561977E-2"/>
          <c:y val="0.15656688801628257"/>
          <c:w val="0.89446946347363887"/>
          <c:h val="0.72749758434242717"/>
        </c:manualLayout>
      </c:layout>
      <c:lineChart>
        <c:grouping val="standard"/>
        <c:varyColors val="0"/>
        <c:ser>
          <c:idx val="1"/>
          <c:order val="0"/>
          <c:tx>
            <c:strRef>
              <c:f>Sheet1!$C$2</c:f>
              <c:strCache>
                <c:ptCount val="1"/>
                <c:pt idx="0">
                  <c:v>STD ABSORBANCE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Sheet1!$B$3:$B$9</c:f>
              <c:numCache>
                <c:formatCode>0.00</c:formatCode>
                <c:ptCount val="7"/>
                <c:pt idx="0">
                  <c:v>0</c:v>
                </c:pt>
                <c:pt idx="1">
                  <c:v>0.59106460702649921</c:v>
                </c:pt>
                <c:pt idx="2">
                  <c:v>1.1936810295412814</c:v>
                </c:pt>
                <c:pt idx="3">
                  <c:v>1.7958800173440752</c:v>
                </c:pt>
                <c:pt idx="4">
                  <c:v>2.3979400086720375</c:v>
                </c:pt>
                <c:pt idx="5">
                  <c:v>3</c:v>
                </c:pt>
                <c:pt idx="6">
                  <c:v>3.6020599913279625</c:v>
                </c:pt>
              </c:numCache>
            </c:numRef>
          </c:cat>
          <c:val>
            <c:numRef>
              <c:f>Sheet1!$C$3:$C$9</c:f>
              <c:numCache>
                <c:formatCode>General</c:formatCode>
                <c:ptCount val="7"/>
                <c:pt idx="0">
                  <c:v>0.95099999999999996</c:v>
                </c:pt>
                <c:pt idx="1">
                  <c:v>0.86099999999999999</c:v>
                </c:pt>
                <c:pt idx="2">
                  <c:v>0.77500000000000002</c:v>
                </c:pt>
                <c:pt idx="3">
                  <c:v>0.56599999999999995</c:v>
                </c:pt>
                <c:pt idx="4">
                  <c:v>0.38400000000000001</c:v>
                </c:pt>
                <c:pt idx="5">
                  <c:v>0.22</c:v>
                </c:pt>
                <c:pt idx="6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A-6E42-A12D-452CA61B78CE}"/>
            </c:ext>
          </c:extLst>
        </c:ser>
        <c:ser>
          <c:idx val="0"/>
          <c:order val="1"/>
          <c:tx>
            <c:strRef>
              <c:f>Sheet1!$D$1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Sheet1!$B$3:$B$9</c:f>
              <c:numCache>
                <c:formatCode>0.00</c:formatCode>
                <c:ptCount val="7"/>
                <c:pt idx="0">
                  <c:v>0</c:v>
                </c:pt>
                <c:pt idx="1">
                  <c:v>0.59106460702649921</c:v>
                </c:pt>
                <c:pt idx="2">
                  <c:v>1.1936810295412814</c:v>
                </c:pt>
                <c:pt idx="3">
                  <c:v>1.7958800173440752</c:v>
                </c:pt>
                <c:pt idx="4">
                  <c:v>2.3979400086720375</c:v>
                </c:pt>
                <c:pt idx="5">
                  <c:v>3</c:v>
                </c:pt>
                <c:pt idx="6">
                  <c:v>3.6020599913279625</c:v>
                </c:pt>
              </c:numCache>
            </c:numRef>
          </c:cat>
          <c:val>
            <c:numRef>
              <c:f>Sheet1!$D$3:$D$9</c:f>
              <c:numCache>
                <c:formatCode>General</c:formatCode>
                <c:ptCount val="7"/>
                <c:pt idx="2">
                  <c:v>0.81599999999999995</c:v>
                </c:pt>
                <c:pt idx="3">
                  <c:v>0.71299999999999997</c:v>
                </c:pt>
                <c:pt idx="4">
                  <c:v>0.5675</c:v>
                </c:pt>
                <c:pt idx="5">
                  <c:v>0.4425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A-6E42-A12D-452CA61B78CE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Sheet1!$B$3:$B$9</c:f>
              <c:numCache>
                <c:formatCode>0.00</c:formatCode>
                <c:ptCount val="7"/>
                <c:pt idx="0">
                  <c:v>0</c:v>
                </c:pt>
                <c:pt idx="1">
                  <c:v>0.59106460702649921</c:v>
                </c:pt>
                <c:pt idx="2">
                  <c:v>1.1936810295412814</c:v>
                </c:pt>
                <c:pt idx="3">
                  <c:v>1.7958800173440752</c:v>
                </c:pt>
                <c:pt idx="4">
                  <c:v>2.3979400086720375</c:v>
                </c:pt>
                <c:pt idx="5">
                  <c:v>3</c:v>
                </c:pt>
                <c:pt idx="6">
                  <c:v>3.6020599913279625</c:v>
                </c:pt>
              </c:numCache>
            </c:numRef>
          </c:cat>
          <c:val>
            <c:numRef>
              <c:f>Sheet1!$E$3:$E$9</c:f>
              <c:numCache>
                <c:formatCode>General</c:formatCode>
                <c:ptCount val="7"/>
                <c:pt idx="0">
                  <c:v>0.88949999999999996</c:v>
                </c:pt>
                <c:pt idx="1">
                  <c:v>0.89749999999999996</c:v>
                </c:pt>
                <c:pt idx="2">
                  <c:v>0.76649999999999996</c:v>
                </c:pt>
                <c:pt idx="3">
                  <c:v>0.78800000000000003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A-6E42-A12D-452CA61B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36368"/>
        <c:axId val="100838000"/>
      </c:lineChart>
      <c:catAx>
        <c:axId val="10083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10 (STD</a:t>
                </a:r>
                <a:r>
                  <a:rPr lang="en-US" sz="1200" b="1" baseline="0"/>
                  <a:t> conc)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8000"/>
        <c:crosses val="autoZero"/>
        <c:auto val="1"/>
        <c:lblAlgn val="ctr"/>
        <c:lblOffset val="100"/>
        <c:noMultiLvlLbl val="0"/>
      </c:catAx>
      <c:valAx>
        <c:axId val="100838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Absorbance</a:t>
                </a:r>
              </a:p>
            </c:rich>
          </c:tx>
          <c:layout>
            <c:manualLayout>
              <c:xMode val="edge"/>
              <c:yMode val="edge"/>
              <c:x val="1.4771048744460856E-2"/>
              <c:y val="0.40254147735449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80302166808173"/>
          <c:y val="0.13898768528607555"/>
          <c:w val="0.14222356621965829"/>
          <c:h val="0.132181081803416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117735283089615E-2"/>
          <c:y val="5.2763819095477386E-2"/>
          <c:w val="0.88188226471691034"/>
          <c:h val="0.90344221105527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FEMALE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301587301587304E-2"/>
                  <c:y val="-2.1491314841926164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/>
                      <a:t>FEMALES:  y = 1.3248x - 9.7655</a:t>
                    </a:r>
                    <a:br>
                      <a:rPr lang="en-US" sz="1200" b="1" baseline="0"/>
                    </a:br>
                    <a:r>
                      <a:rPr lang="en-US" sz="1200" b="1" baseline="0"/>
                      <a:t>R² = 0.9999</a:t>
                    </a:r>
                    <a:endParaRPr lang="en-US" sz="1200" b="1"/>
                  </a:p>
                </c:rich>
              </c:tx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Sheet1!$K$3:$K$9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Sheet1!$M$3:$M$9</c:f>
              <c:numCache>
                <c:formatCode>General</c:formatCode>
                <c:ptCount val="7"/>
                <c:pt idx="0">
                  <c:v>0</c:v>
                </c:pt>
                <c:pt idx="1">
                  <c:v>0.64000000000000057</c:v>
                </c:pt>
                <c:pt idx="2">
                  <c:v>-0.71999999999999886</c:v>
                </c:pt>
                <c:pt idx="3">
                  <c:v>23.080000000000002</c:v>
                </c:pt>
                <c:pt idx="4">
                  <c:v>143.56</c:v>
                </c:pt>
                <c:pt idx="5">
                  <c:v>657.48</c:v>
                </c:pt>
                <c:pt idx="6">
                  <c:v>2639.48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72-1E43-AAF6-F14B463FBE13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984126984126985E-2"/>
                  <c:y val="0.2325774542001345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/>
                      <a:t>MALES : y = 1.2384x - 27.582</a:t>
                    </a:r>
                    <a:br>
                      <a:rPr lang="en-US" sz="1200" b="1" baseline="0"/>
                    </a:br>
                    <a:r>
                      <a:rPr lang="en-US" sz="1200" b="1" baseline="0"/>
                      <a:t>R² = 0.9991</a:t>
                    </a:r>
                    <a:endParaRPr lang="en-US" sz="1200" b="1"/>
                  </a:p>
                </c:rich>
              </c:tx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Sheet1!$K$3:$K$9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Sheet1!$P$3:$P$9</c:f>
              <c:numCache>
                <c:formatCode>General</c:formatCode>
                <c:ptCount val="7"/>
                <c:pt idx="0">
                  <c:v>0</c:v>
                </c:pt>
                <c:pt idx="1">
                  <c:v>-2.7199999999999989</c:v>
                </c:pt>
                <c:pt idx="2">
                  <c:v>-3.1280000000000001</c:v>
                </c:pt>
                <c:pt idx="3">
                  <c:v>7.879999999999999</c:v>
                </c:pt>
                <c:pt idx="4">
                  <c:v>82.320000000000007</c:v>
                </c:pt>
                <c:pt idx="5">
                  <c:v>565.68000000000006</c:v>
                </c:pt>
                <c:pt idx="6">
                  <c:v>2458.48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72-1E43-AAF6-F14B463FB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24224"/>
        <c:axId val="142041440"/>
      </c:scatterChart>
      <c:valAx>
        <c:axId val="141024224"/>
        <c:scaling>
          <c:orientation val="minMax"/>
          <c:max val="2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Amount expected</a:t>
                </a:r>
                <a:r>
                  <a:rPr lang="en-US" sz="1100" b="1" baseline="0"/>
                  <a:t> pg/ml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44070966129233852"/>
              <c:y val="0.886419499070153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1440"/>
        <c:crosses val="autoZero"/>
        <c:crossBetween val="midCat"/>
      </c:valAx>
      <c:valAx>
        <c:axId val="142041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Amount</a:t>
                </a:r>
                <a:r>
                  <a:rPr lang="en-US" sz="1100" b="1" baseline="0"/>
                  <a:t> observed pg/ml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2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Sheet1!$C$2</c:f>
              <c:strCache>
                <c:ptCount val="1"/>
                <c:pt idx="0">
                  <c:v>STD ABSORBANCE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Sheet1!$B$3:$B$9</c:f>
              <c:numCache>
                <c:formatCode>0.00</c:formatCode>
                <c:ptCount val="7"/>
                <c:pt idx="0">
                  <c:v>0</c:v>
                </c:pt>
                <c:pt idx="1">
                  <c:v>0.59106460702649921</c:v>
                </c:pt>
                <c:pt idx="2">
                  <c:v>1.1936810295412814</c:v>
                </c:pt>
                <c:pt idx="3">
                  <c:v>1.7958800173440752</c:v>
                </c:pt>
                <c:pt idx="4">
                  <c:v>2.3979400086720375</c:v>
                </c:pt>
                <c:pt idx="5">
                  <c:v>3</c:v>
                </c:pt>
                <c:pt idx="6">
                  <c:v>3.6020599913279625</c:v>
                </c:pt>
              </c:numCache>
            </c:numRef>
          </c:cat>
          <c:val>
            <c:numRef>
              <c:f>Sheet1!$C$3:$C$9</c:f>
              <c:numCache>
                <c:formatCode>General</c:formatCode>
                <c:ptCount val="7"/>
                <c:pt idx="0">
                  <c:v>0.95099999999999996</c:v>
                </c:pt>
                <c:pt idx="1">
                  <c:v>0.86099999999999999</c:v>
                </c:pt>
                <c:pt idx="2">
                  <c:v>0.77500000000000002</c:v>
                </c:pt>
                <c:pt idx="3">
                  <c:v>0.56599999999999995</c:v>
                </c:pt>
                <c:pt idx="4">
                  <c:v>0.38400000000000001</c:v>
                </c:pt>
                <c:pt idx="5">
                  <c:v>0.22</c:v>
                </c:pt>
                <c:pt idx="6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E-344D-96C1-2B26F3482795}"/>
            </c:ext>
          </c:extLst>
        </c:ser>
        <c:ser>
          <c:idx val="0"/>
          <c:order val="1"/>
          <c:tx>
            <c:strRef>
              <c:f>Sheet1!$D$1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Sheet1!$B$3:$B$9</c:f>
              <c:numCache>
                <c:formatCode>0.00</c:formatCode>
                <c:ptCount val="7"/>
                <c:pt idx="0">
                  <c:v>0</c:v>
                </c:pt>
                <c:pt idx="1">
                  <c:v>0.59106460702649921</c:v>
                </c:pt>
                <c:pt idx="2">
                  <c:v>1.1936810295412814</c:v>
                </c:pt>
                <c:pt idx="3">
                  <c:v>1.7958800173440752</c:v>
                </c:pt>
                <c:pt idx="4">
                  <c:v>2.3979400086720375</c:v>
                </c:pt>
                <c:pt idx="5">
                  <c:v>3</c:v>
                </c:pt>
                <c:pt idx="6">
                  <c:v>3.6020599913279625</c:v>
                </c:pt>
              </c:numCache>
            </c:numRef>
          </c:cat>
          <c:val>
            <c:numRef>
              <c:f>Sheet1!$D$3:$D$9</c:f>
              <c:numCache>
                <c:formatCode>General</c:formatCode>
                <c:ptCount val="7"/>
                <c:pt idx="2">
                  <c:v>0.81599999999999995</c:v>
                </c:pt>
                <c:pt idx="3">
                  <c:v>0.71299999999999997</c:v>
                </c:pt>
                <c:pt idx="4">
                  <c:v>0.5675</c:v>
                </c:pt>
                <c:pt idx="5">
                  <c:v>0.4425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E-344D-96C1-2B26F3482795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Sheet1!$B$3:$B$9</c:f>
              <c:numCache>
                <c:formatCode>0.00</c:formatCode>
                <c:ptCount val="7"/>
                <c:pt idx="0">
                  <c:v>0</c:v>
                </c:pt>
                <c:pt idx="1">
                  <c:v>0.59106460702649921</c:v>
                </c:pt>
                <c:pt idx="2">
                  <c:v>1.1936810295412814</c:v>
                </c:pt>
                <c:pt idx="3">
                  <c:v>1.7958800173440752</c:v>
                </c:pt>
                <c:pt idx="4">
                  <c:v>2.3979400086720375</c:v>
                </c:pt>
                <c:pt idx="5">
                  <c:v>3</c:v>
                </c:pt>
                <c:pt idx="6">
                  <c:v>3.6020599913279625</c:v>
                </c:pt>
              </c:numCache>
            </c:numRef>
          </c:cat>
          <c:val>
            <c:numRef>
              <c:f>Sheet1!$E$3:$E$9</c:f>
              <c:numCache>
                <c:formatCode>General</c:formatCode>
                <c:ptCount val="7"/>
                <c:pt idx="0">
                  <c:v>0.88949999999999996</c:v>
                </c:pt>
                <c:pt idx="1">
                  <c:v>0.89749999999999996</c:v>
                </c:pt>
                <c:pt idx="2">
                  <c:v>0.76649999999999996</c:v>
                </c:pt>
                <c:pt idx="3">
                  <c:v>0.78800000000000003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E-344D-96C1-2B26F3482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60928"/>
        <c:axId val="138438960"/>
      </c:lineChart>
      <c:catAx>
        <c:axId val="16106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Log(STD</a:t>
                </a:r>
                <a:r>
                  <a:rPr lang="en-US" baseline="0"/>
                  <a:t> conc)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8960"/>
        <c:crosses val="autoZero"/>
        <c:auto val="1"/>
        <c:lblAlgn val="ctr"/>
        <c:lblOffset val="100"/>
        <c:noMultiLvlLbl val="0"/>
      </c:catAx>
      <c:valAx>
        <c:axId val="138438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FEMALE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761904761904799E-2"/>
                  <c:y val="-5.13413524314485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Sheet1!$K$3:$K$9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Sheet1!$M$3:$M$9</c:f>
              <c:numCache>
                <c:formatCode>General</c:formatCode>
                <c:ptCount val="7"/>
                <c:pt idx="0">
                  <c:v>0</c:v>
                </c:pt>
                <c:pt idx="1">
                  <c:v>0.64000000000000057</c:v>
                </c:pt>
                <c:pt idx="2">
                  <c:v>-0.71999999999999886</c:v>
                </c:pt>
                <c:pt idx="3">
                  <c:v>23.080000000000002</c:v>
                </c:pt>
                <c:pt idx="4">
                  <c:v>143.56</c:v>
                </c:pt>
                <c:pt idx="5">
                  <c:v>657.48</c:v>
                </c:pt>
                <c:pt idx="6">
                  <c:v>2639.48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00-3845-B70A-526289543D52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4285714285714E-3"/>
                  <c:y val="0.1398692280299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Sheet1!$K$3:$K$9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Sheet1!$P$3:$P$9</c:f>
              <c:numCache>
                <c:formatCode>General</c:formatCode>
                <c:ptCount val="7"/>
                <c:pt idx="0">
                  <c:v>0</c:v>
                </c:pt>
                <c:pt idx="1">
                  <c:v>-2.7199999999999989</c:v>
                </c:pt>
                <c:pt idx="2">
                  <c:v>-3.1280000000000001</c:v>
                </c:pt>
                <c:pt idx="3">
                  <c:v>7.879999999999999</c:v>
                </c:pt>
                <c:pt idx="4">
                  <c:v>82.320000000000007</c:v>
                </c:pt>
                <c:pt idx="5">
                  <c:v>565.68000000000006</c:v>
                </c:pt>
                <c:pt idx="6">
                  <c:v>2458.48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00-3845-B70A-52628954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11136"/>
        <c:axId val="141736576"/>
      </c:scatterChart>
      <c:valAx>
        <c:axId val="160611136"/>
        <c:scaling>
          <c:orientation val="minMax"/>
          <c:max val="2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  <a:r>
                  <a:rPr lang="en-US" baseline="0"/>
                  <a:t> EXP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6576"/>
        <c:crosses val="autoZero"/>
        <c:crossBetween val="midCat"/>
      </c:valAx>
      <c:valAx>
        <c:axId val="141736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1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10</xdr:row>
      <xdr:rowOff>139700</xdr:rowOff>
    </xdr:from>
    <xdr:to>
      <xdr:col>10</xdr:col>
      <xdr:colOff>622300</xdr:colOff>
      <xdr:row>34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431800</xdr:colOff>
      <xdr:row>11</xdr:row>
      <xdr:rowOff>63500</xdr:rowOff>
    </xdr:from>
    <xdr:to>
      <xdr:col>21</xdr:col>
      <xdr:colOff>177800</xdr:colOff>
      <xdr:row>36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6</xdr:col>
      <xdr:colOff>690880</xdr:colOff>
      <xdr:row>21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6</xdr:col>
      <xdr:colOff>701040</xdr:colOff>
      <xdr:row>41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opLeftCell="A5" workbookViewId="0">
      <selection activeCell="E3" sqref="E3:E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D1" t="s">
        <v>6</v>
      </c>
      <c r="F1" t="s">
        <v>7</v>
      </c>
      <c r="J1" t="s">
        <v>8</v>
      </c>
      <c r="L1" t="s">
        <v>12</v>
      </c>
      <c r="O1" t="s">
        <v>13</v>
      </c>
    </row>
    <row r="2" spans="1:16" x14ac:dyDescent="0.2">
      <c r="A2" t="s">
        <v>2</v>
      </c>
      <c r="B2" t="s">
        <v>3</v>
      </c>
      <c r="C2" t="s">
        <v>4</v>
      </c>
      <c r="D2" t="s">
        <v>5</v>
      </c>
      <c r="J2" t="s">
        <v>2</v>
      </c>
      <c r="K2" t="s">
        <v>9</v>
      </c>
      <c r="L2" t="s">
        <v>10</v>
      </c>
      <c r="M2" t="s">
        <v>11</v>
      </c>
      <c r="O2" t="s">
        <v>10</v>
      </c>
      <c r="P2" t="s">
        <v>11</v>
      </c>
    </row>
    <row r="3" spans="1:16" x14ac:dyDescent="0.2">
      <c r="A3">
        <v>0</v>
      </c>
      <c r="B3" s="2">
        <v>0</v>
      </c>
      <c r="C3">
        <v>0.95099999999999996</v>
      </c>
      <c r="E3" s="1">
        <v>0.88949999999999996</v>
      </c>
      <c r="F3">
        <v>0.88949999999999996</v>
      </c>
      <c r="J3">
        <v>0</v>
      </c>
      <c r="K3">
        <v>0</v>
      </c>
      <c r="L3">
        <v>26.52</v>
      </c>
      <c r="M3">
        <v>0</v>
      </c>
      <c r="O3">
        <v>21.52</v>
      </c>
      <c r="P3">
        <v>0</v>
      </c>
    </row>
    <row r="4" spans="1:16" x14ac:dyDescent="0.2">
      <c r="A4">
        <v>3.9</v>
      </c>
      <c r="B4" s="2">
        <f>LOG10(A4)</f>
        <v>0.59106460702649921</v>
      </c>
      <c r="C4">
        <v>0.86099999999999999</v>
      </c>
      <c r="E4" s="1">
        <v>0.89749999999999996</v>
      </c>
      <c r="F4">
        <v>0.89749999999999996</v>
      </c>
      <c r="J4">
        <v>3.9</v>
      </c>
      <c r="K4">
        <f>J4/2</f>
        <v>1.95</v>
      </c>
      <c r="L4">
        <v>27.16</v>
      </c>
      <c r="M4">
        <f>L4-$L$3</f>
        <v>0.64000000000000057</v>
      </c>
      <c r="O4">
        <v>18.8</v>
      </c>
      <c r="P4">
        <f>O4-$O$3</f>
        <v>-2.7199999999999989</v>
      </c>
    </row>
    <row r="5" spans="1:16" x14ac:dyDescent="0.2">
      <c r="A5">
        <v>15.62</v>
      </c>
      <c r="B5" s="2">
        <f t="shared" ref="B5:B9" si="0">LOG10(A5)</f>
        <v>1.1936810295412814</v>
      </c>
      <c r="C5">
        <v>0.77500000000000002</v>
      </c>
      <c r="D5">
        <v>0.81599999999999995</v>
      </c>
      <c r="E5" s="1">
        <v>0.76649999999999996</v>
      </c>
      <c r="F5">
        <v>0.76649999999999996</v>
      </c>
      <c r="J5">
        <v>15.62</v>
      </c>
      <c r="K5">
        <f t="shared" ref="K5:K9" si="1">J5/2</f>
        <v>7.81</v>
      </c>
      <c r="L5">
        <v>25.8</v>
      </c>
      <c r="M5">
        <f t="shared" ref="M5:M9" si="2">L5-$L$3</f>
        <v>-0.71999999999999886</v>
      </c>
      <c r="O5">
        <v>18.391999999999999</v>
      </c>
      <c r="P5">
        <f t="shared" ref="P5:P9" si="3">O5-$O$3</f>
        <v>-3.1280000000000001</v>
      </c>
    </row>
    <row r="6" spans="1:16" x14ac:dyDescent="0.2">
      <c r="A6">
        <v>62.5</v>
      </c>
      <c r="B6" s="2">
        <f t="shared" si="0"/>
        <v>1.7958800173440752</v>
      </c>
      <c r="C6">
        <v>0.56599999999999995</v>
      </c>
      <c r="D6">
        <v>0.71299999999999997</v>
      </c>
      <c r="E6" s="1">
        <v>0.78800000000000003</v>
      </c>
      <c r="F6">
        <v>0.78800000000000003</v>
      </c>
      <c r="J6">
        <v>62.5</v>
      </c>
      <c r="K6">
        <f t="shared" si="1"/>
        <v>31.25</v>
      </c>
      <c r="L6">
        <v>49.6</v>
      </c>
      <c r="M6">
        <f t="shared" si="2"/>
        <v>23.080000000000002</v>
      </c>
      <c r="O6">
        <v>29.4</v>
      </c>
      <c r="P6">
        <f t="shared" si="3"/>
        <v>7.879999999999999</v>
      </c>
    </row>
    <row r="7" spans="1:16" x14ac:dyDescent="0.2">
      <c r="A7">
        <v>250</v>
      </c>
      <c r="B7" s="2">
        <f t="shared" si="0"/>
        <v>2.3979400086720375</v>
      </c>
      <c r="C7">
        <v>0.38400000000000001</v>
      </c>
      <c r="D7">
        <v>0.5675</v>
      </c>
      <c r="J7">
        <v>250</v>
      </c>
      <c r="K7">
        <f t="shared" si="1"/>
        <v>125</v>
      </c>
      <c r="L7">
        <v>170.08</v>
      </c>
      <c r="M7">
        <f t="shared" si="2"/>
        <v>143.56</v>
      </c>
      <c r="O7">
        <v>103.84</v>
      </c>
      <c r="P7">
        <f t="shared" si="3"/>
        <v>82.320000000000007</v>
      </c>
    </row>
    <row r="8" spans="1:16" x14ac:dyDescent="0.2">
      <c r="A8">
        <v>1000</v>
      </c>
      <c r="B8" s="2">
        <f t="shared" si="0"/>
        <v>3</v>
      </c>
      <c r="C8">
        <v>0.22</v>
      </c>
      <c r="D8">
        <v>0.4425</v>
      </c>
      <c r="J8">
        <v>1000</v>
      </c>
      <c r="K8">
        <f t="shared" si="1"/>
        <v>500</v>
      </c>
      <c r="L8">
        <v>684</v>
      </c>
      <c r="M8">
        <f t="shared" si="2"/>
        <v>657.48</v>
      </c>
      <c r="O8">
        <v>587.20000000000005</v>
      </c>
      <c r="P8">
        <f t="shared" si="3"/>
        <v>565.68000000000006</v>
      </c>
    </row>
    <row r="9" spans="1:16" x14ac:dyDescent="0.2">
      <c r="A9">
        <v>4000</v>
      </c>
      <c r="B9" s="2">
        <f t="shared" si="0"/>
        <v>3.6020599913279625</v>
      </c>
      <c r="C9">
        <v>0.14099999999999999</v>
      </c>
      <c r="J9">
        <v>4000</v>
      </c>
      <c r="K9">
        <f t="shared" si="1"/>
        <v>2000</v>
      </c>
      <c r="L9">
        <v>2666</v>
      </c>
      <c r="M9">
        <f t="shared" si="2"/>
        <v>2639.48</v>
      </c>
      <c r="O9">
        <v>2480</v>
      </c>
      <c r="P9">
        <f t="shared" si="3"/>
        <v>2458.48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125" workbookViewId="0">
      <selection activeCell="A26" sqref="A26"/>
    </sheetView>
  </sheetViews>
  <sheetFormatPr baseColWidth="10" defaultRowHeight="16" x14ac:dyDescent="0.2"/>
  <sheetData/>
  <phoneticPr fontId="4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cp:lastPrinted>2017-10-16T20:28:03Z</cp:lastPrinted>
  <dcterms:created xsi:type="dcterms:W3CDTF">2017-10-14T17:04:06Z</dcterms:created>
  <dcterms:modified xsi:type="dcterms:W3CDTF">2026-06-07T13:47:20Z</dcterms:modified>
</cp:coreProperties>
</file>