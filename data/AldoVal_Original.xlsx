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valentinamelica/R/Grey-Whale/data/"/>
    </mc:Choice>
  </mc:AlternateContent>
  <xr:revisionPtr revIDLastSave="0" documentId="13_ncr:1_{7CD2E67C-1024-8949-A1AA-B39D43DE3530}" xr6:coauthVersionLast="47" xr6:coauthVersionMax="47" xr10:uidLastSave="{00000000-0000-0000-0000-000000000000}"/>
  <bookViews>
    <workbookView xWindow="30020" yWindow="500" windowWidth="27860" windowHeight="14780" tabRatio="500" activeTab="3" xr2:uid="{00000000-000D-0000-FFFF-FFFF00000000}"/>
  </bookViews>
  <sheets>
    <sheet name="BW" sheetId="1" r:id="rId1"/>
    <sheet name="BW-2" sheetId="4" r:id="rId2"/>
    <sheet name="GW" sheetId="5" r:id="rId3"/>
    <sheet name="GW-2" sheetId="2" r:id="rId4"/>
    <sheet name="Sheet1" sheetId="6" r:id="rId5"/>
    <sheet name="Sheet3" sheetId="3" r:id="rId6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8" i="6" l="1"/>
  <c r="D7" i="6"/>
  <c r="D6" i="6"/>
  <c r="AE11" i="2"/>
  <c r="A8" i="2"/>
  <c r="A6" i="2"/>
  <c r="AD9" i="2"/>
  <c r="AD7" i="2"/>
  <c r="AD13" i="2"/>
  <c r="AD15" i="2"/>
  <c r="AE14" i="2" l="1"/>
  <c r="AE9" i="2"/>
  <c r="AF9" i="2"/>
  <c r="AE10" i="2"/>
  <c r="AF10" i="2"/>
  <c r="AF11" i="2"/>
  <c r="AE12" i="2"/>
  <c r="AF12" i="2"/>
  <c r="AE13" i="2"/>
  <c r="AF13" i="2"/>
  <c r="AF14" i="2"/>
  <c r="AD6" i="2"/>
  <c r="AD8" i="2"/>
  <c r="AD10" i="2"/>
  <c r="AD12" i="2"/>
  <c r="AD14" i="2"/>
  <c r="AD16" i="2"/>
  <c r="AD5" i="2"/>
  <c r="Y7" i="2"/>
  <c r="Y8" i="2" s="1"/>
  <c r="Z6" i="2"/>
  <c r="Z8" i="2" l="1"/>
  <c r="Y9" i="2"/>
  <c r="Z7" i="2"/>
  <c r="M4" i="1"/>
  <c r="M5" i="1"/>
  <c r="M6" i="1"/>
  <c r="M7" i="1"/>
  <c r="M8" i="1"/>
  <c r="M9" i="1"/>
  <c r="F4" i="4"/>
  <c r="F6" i="4"/>
  <c r="G7" i="4"/>
  <c r="H7" i="4"/>
  <c r="F8" i="4"/>
  <c r="G8" i="4"/>
  <c r="H8" i="4"/>
  <c r="F9" i="4"/>
  <c r="G9" i="4"/>
  <c r="H9" i="4"/>
  <c r="F10" i="4"/>
  <c r="G10" i="4"/>
  <c r="H10" i="4"/>
  <c r="H11" i="4"/>
  <c r="F12" i="4"/>
  <c r="F14" i="4"/>
  <c r="F3" i="4"/>
  <c r="Y10" i="2" l="1"/>
  <c r="Z9" i="2"/>
  <c r="D77" i="2"/>
  <c r="D78" i="2"/>
  <c r="D79" i="2"/>
  <c r="D80" i="2"/>
  <c r="D81" i="2"/>
  <c r="D76" i="2"/>
  <c r="G81" i="2"/>
  <c r="B81" i="2"/>
  <c r="G80" i="2"/>
  <c r="B80" i="2"/>
  <c r="G79" i="2"/>
  <c r="B79" i="2"/>
  <c r="G78" i="2"/>
  <c r="B78" i="2"/>
  <c r="G77" i="2"/>
  <c r="B77" i="2"/>
  <c r="G76" i="2"/>
  <c r="B76" i="2"/>
  <c r="Z10" i="2" l="1"/>
  <c r="Y11" i="2"/>
  <c r="K30" i="2"/>
  <c r="K31" i="2"/>
  <c r="K32" i="2"/>
  <c r="K33" i="2"/>
  <c r="K34" i="2"/>
  <c r="K29" i="2"/>
  <c r="J32" i="2"/>
  <c r="J33" i="2"/>
  <c r="J34" i="2"/>
  <c r="J35" i="2"/>
  <c r="J36" i="2"/>
  <c r="J31" i="2"/>
  <c r="M60" i="2"/>
  <c r="M62" i="2" s="1"/>
  <c r="I28" i="2"/>
  <c r="I30" i="2"/>
  <c r="I32" i="2"/>
  <c r="I34" i="2"/>
  <c r="I36" i="2"/>
  <c r="I38" i="2"/>
  <c r="I27" i="2"/>
  <c r="A29" i="2"/>
  <c r="B29" i="2" s="1"/>
  <c r="B28" i="2"/>
  <c r="Y12" i="2" l="1"/>
  <c r="Z11" i="2"/>
  <c r="M61" i="2"/>
  <c r="A30" i="2"/>
  <c r="A5" i="2"/>
  <c r="B4" i="2"/>
  <c r="A5" i="4"/>
  <c r="A6" i="4" s="1"/>
  <c r="B6" i="4" s="1"/>
  <c r="B4" i="4"/>
  <c r="Z12" i="2" l="1"/>
  <c r="Y13" i="2"/>
  <c r="A7" i="4"/>
  <c r="B5" i="4"/>
  <c r="B30" i="2"/>
  <c r="A31" i="2"/>
  <c r="B6" i="2"/>
  <c r="A7" i="2"/>
  <c r="B5" i="2"/>
  <c r="H15" i="1"/>
  <c r="I14" i="1" s="1"/>
  <c r="Y14" i="2" l="1"/>
  <c r="Z13" i="2"/>
  <c r="I13" i="1"/>
  <c r="A8" i="4"/>
  <c r="B7" i="4"/>
  <c r="B31" i="2"/>
  <c r="A32" i="2"/>
  <c r="B7" i="2"/>
  <c r="B15" i="1"/>
  <c r="B14" i="1"/>
  <c r="B13" i="1"/>
  <c r="B12" i="1"/>
  <c r="B11" i="1"/>
  <c r="A10" i="1"/>
  <c r="B10" i="1" s="1"/>
  <c r="B9" i="1"/>
  <c r="A8" i="1"/>
  <c r="B8" i="1" s="1"/>
  <c r="B7" i="1"/>
  <c r="A6" i="1"/>
  <c r="B6" i="1" s="1"/>
  <c r="B5" i="1"/>
  <c r="B7" i="5"/>
  <c r="B9" i="5"/>
  <c r="B11" i="5"/>
  <c r="B12" i="5"/>
  <c r="B13" i="5"/>
  <c r="B14" i="5"/>
  <c r="B15" i="5"/>
  <c r="A10" i="5"/>
  <c r="B10" i="5" s="1"/>
  <c r="A8" i="5"/>
  <c r="B8" i="5" s="1"/>
  <c r="A6" i="5"/>
  <c r="B6" i="5" s="1"/>
  <c r="B5" i="5"/>
  <c r="Z14" i="2" l="1"/>
  <c r="Y15" i="2"/>
  <c r="A9" i="4"/>
  <c r="B8" i="4"/>
  <c r="B32" i="2"/>
  <c r="A33" i="2"/>
  <c r="B8" i="2"/>
  <c r="A9" i="2"/>
  <c r="P5" i="1"/>
  <c r="P6" i="1"/>
  <c r="P7" i="1"/>
  <c r="P8" i="1"/>
  <c r="P9" i="1"/>
  <c r="P4" i="1"/>
  <c r="K5" i="1"/>
  <c r="K6" i="1"/>
  <c r="K7" i="1"/>
  <c r="K8" i="1"/>
  <c r="K9" i="1"/>
  <c r="K4" i="1"/>
  <c r="Y16" i="2" l="1"/>
  <c r="Z16" i="2" s="1"/>
  <c r="Z15" i="2"/>
  <c r="B9" i="4"/>
  <c r="A10" i="4"/>
  <c r="B33" i="2"/>
  <c r="A34" i="2"/>
  <c r="A10" i="2"/>
  <c r="B9" i="2"/>
  <c r="A11" i="4" l="1"/>
  <c r="B10" i="4"/>
  <c r="B34" i="2"/>
  <c r="A35" i="2"/>
  <c r="B10" i="2"/>
  <c r="A11" i="2"/>
  <c r="B11" i="4" l="1"/>
  <c r="A12" i="4"/>
  <c r="B35" i="2"/>
  <c r="A36" i="2"/>
  <c r="A12" i="2"/>
  <c r="B11" i="2"/>
  <c r="B12" i="4" l="1"/>
  <c r="A13" i="4"/>
  <c r="B36" i="2"/>
  <c r="A37" i="2"/>
  <c r="B12" i="2"/>
  <c r="A13" i="2"/>
  <c r="A14" i="2" s="1"/>
  <c r="B13" i="4" l="1"/>
  <c r="A14" i="4"/>
  <c r="B14" i="4" s="1"/>
  <c r="A38" i="2"/>
  <c r="B38" i="2" s="1"/>
  <c r="B37" i="2"/>
  <c r="B14" i="2"/>
  <c r="B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tc={DC417A3A-5BAF-0B4A-9352-44B0A91EF4BB}</author>
  </authors>
  <commentList>
    <comment ref="F26" authorId="0" shapeId="0" xr:uid="{DC417A3A-5BAF-0B4A-9352-44B0A91EF4BB}">
      <text>
        <t>[Threaded comment]
Your version of Excel allows you to read this threaded comment; however, any edits to it will get removed if the file is opened in a newer version of Excel. Learn more: https://go.microsoft.com/fwlink/?linkid=870924
Comment:
    Found the assay printout and results, HD"Valentina" - HD- R- Corticosterone and Cortisol Assay -</t>
      </text>
    </comment>
  </commentList>
</comments>
</file>

<file path=xl/sharedStrings.xml><?xml version="1.0" encoding="utf-8"?>
<sst xmlns="http://schemas.openxmlformats.org/spreadsheetml/2006/main" count="87" uniqueCount="40">
  <si>
    <t>BLUBBER</t>
  </si>
  <si>
    <t>PARALLELISM</t>
  </si>
  <si>
    <t>STD</t>
  </si>
  <si>
    <t>LOG STD</t>
  </si>
  <si>
    <t>STD ABSORBANCE</t>
  </si>
  <si>
    <t>SAMPLE ABS</t>
  </si>
  <si>
    <t>F</t>
  </si>
  <si>
    <t>M</t>
  </si>
  <si>
    <t>ACCURACY</t>
  </si>
  <si>
    <t>Expected</t>
  </si>
  <si>
    <t>measured</t>
  </si>
  <si>
    <t>OBServed</t>
  </si>
  <si>
    <t>FEMALE</t>
  </si>
  <si>
    <t>MALE</t>
  </si>
  <si>
    <t>Gray whale</t>
  </si>
  <si>
    <t>Standard</t>
  </si>
  <si>
    <t>p'</t>
  </si>
  <si>
    <t>Female B</t>
  </si>
  <si>
    <t>Male B</t>
  </si>
  <si>
    <t>Female Str</t>
  </si>
  <si>
    <t>Male stra</t>
  </si>
  <si>
    <t>all from 1:16-2:1</t>
  </si>
  <si>
    <t>%</t>
  </si>
  <si>
    <t>STANDARD</t>
  </si>
  <si>
    <t>STRAND FEMALE</t>
  </si>
  <si>
    <t>STRANDED MALE</t>
  </si>
  <si>
    <t>STRANDED ANIMAL</t>
  </si>
  <si>
    <t>Neat</t>
  </si>
  <si>
    <t>IC</t>
  </si>
  <si>
    <t>n</t>
  </si>
  <si>
    <t xml:space="preserve">Binding </t>
  </si>
  <si>
    <t>Dilution linearity</t>
  </si>
  <si>
    <t>"2:1"</t>
  </si>
  <si>
    <t>"1:1"</t>
  </si>
  <si>
    <t>"1:2"</t>
  </si>
  <si>
    <t>"1:4"</t>
  </si>
  <si>
    <t>"1:8"</t>
  </si>
  <si>
    <t>"1:16"</t>
  </si>
  <si>
    <t>stranded females</t>
  </si>
  <si>
    <t>stranded 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</si>
</sst>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2" fontId="0" fillId="0" borderId="0" xfId="0" applyNumberFormat="1"/>
    <xf numFmtId="1" fontId="0" fillId="0" borderId="0" xfId="0" applyNumberFormat="1"/>
    <xf numFmtId="20" fontId="0" fillId="0" borderId="0" xfId="0" applyNumberFormat="1"/>
    <xf numFmtId="16" fontId="0" fillId="0" borderId="0" xfId="0" applyNumberFormat="1"/>
    <xf numFmtId="9" fontId="0" fillId="0" borderId="0" xfId="0" applyNumberFormat="1"/>
    <xf numFmtId="164" fontId="0" fillId="0" borderId="0" xfId="0" applyNumberFormat="1"/>
    <xf numFmtId="0" fontId="5" fillId="0" borderId="0" xfId="0" applyFon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117735283089615E-2"/>
          <c:y val="5.2763819095477386E-2"/>
          <c:w val="0.88188226471691034"/>
          <c:h val="0.90344221105527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BW!$L$1</c:f>
              <c:strCache>
                <c:ptCount val="1"/>
                <c:pt idx="0">
                  <c:v>FEMALE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9301587301587304E-2"/>
                  <c:y val="-2.1491314841926164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/>
                      <a:t>FEMALES:  y = 1.3248x - 9.7655</a:t>
                    </a:r>
                    <a:br>
                      <a:rPr lang="en-US" sz="1200" b="1" baseline="0"/>
                    </a:br>
                    <a:r>
                      <a:rPr lang="en-US" sz="1200" b="1" baseline="0"/>
                      <a:t>R² = 0.9999</a:t>
                    </a:r>
                    <a:endParaRPr lang="en-US" sz="1200" b="1"/>
                  </a:p>
                </c:rich>
              </c:tx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BW!$K$3:$K$9</c:f>
              <c:numCache>
                <c:formatCode>General</c:formatCode>
                <c:ptCount val="7"/>
                <c:pt idx="0">
                  <c:v>0</c:v>
                </c:pt>
                <c:pt idx="1">
                  <c:v>1.95</c:v>
                </c:pt>
                <c:pt idx="2">
                  <c:v>7.81</c:v>
                </c:pt>
                <c:pt idx="3">
                  <c:v>31.25</c:v>
                </c:pt>
                <c:pt idx="4">
                  <c:v>125</c:v>
                </c:pt>
                <c:pt idx="5">
                  <c:v>500</c:v>
                </c:pt>
                <c:pt idx="6">
                  <c:v>2000</c:v>
                </c:pt>
              </c:numCache>
            </c:numRef>
          </c:xVal>
          <c:yVal>
            <c:numRef>
              <c:f>BW!$M$3:$M$9</c:f>
              <c:numCache>
                <c:formatCode>General</c:formatCode>
                <c:ptCount val="7"/>
                <c:pt idx="0">
                  <c:v>0</c:v>
                </c:pt>
                <c:pt idx="1">
                  <c:v>0.64000000000000057</c:v>
                </c:pt>
                <c:pt idx="2">
                  <c:v>-0.71999999999999886</c:v>
                </c:pt>
                <c:pt idx="3">
                  <c:v>23.080000000000002</c:v>
                </c:pt>
                <c:pt idx="4">
                  <c:v>143.56</c:v>
                </c:pt>
                <c:pt idx="5">
                  <c:v>657.48</c:v>
                </c:pt>
                <c:pt idx="6">
                  <c:v>2639.48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72-1E43-AAF6-F14B463FBE13}"/>
            </c:ext>
          </c:extLst>
        </c:ser>
        <c:ser>
          <c:idx val="1"/>
          <c:order val="1"/>
          <c:tx>
            <c:strRef>
              <c:f>BW!$O$1</c:f>
              <c:strCache>
                <c:ptCount val="1"/>
                <c:pt idx="0">
                  <c:v>MALE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50000"/>
                  </a:scheme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8984126984126985E-2"/>
                  <c:y val="0.2325774542001345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/>
                      <a:t>MALES : y = 1.2384x - 27.582</a:t>
                    </a:r>
                    <a:br>
                      <a:rPr lang="en-US" sz="1200" b="1" baseline="0"/>
                    </a:br>
                    <a:r>
                      <a:rPr lang="en-US" sz="1200" b="1" baseline="0"/>
                      <a:t>R² = 0.9991</a:t>
                    </a:r>
                    <a:endParaRPr lang="en-US" sz="1200" b="1"/>
                  </a:p>
                </c:rich>
              </c:tx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BW!$K$3:$K$9</c:f>
              <c:numCache>
                <c:formatCode>General</c:formatCode>
                <c:ptCount val="7"/>
                <c:pt idx="0">
                  <c:v>0</c:v>
                </c:pt>
                <c:pt idx="1">
                  <c:v>1.95</c:v>
                </c:pt>
                <c:pt idx="2">
                  <c:v>7.81</c:v>
                </c:pt>
                <c:pt idx="3">
                  <c:v>31.25</c:v>
                </c:pt>
                <c:pt idx="4">
                  <c:v>125</c:v>
                </c:pt>
                <c:pt idx="5">
                  <c:v>500</c:v>
                </c:pt>
                <c:pt idx="6">
                  <c:v>2000</c:v>
                </c:pt>
              </c:numCache>
            </c:numRef>
          </c:xVal>
          <c:yVal>
            <c:numRef>
              <c:f>BW!$P$3:$P$9</c:f>
              <c:numCache>
                <c:formatCode>General</c:formatCode>
                <c:ptCount val="7"/>
                <c:pt idx="0">
                  <c:v>0</c:v>
                </c:pt>
                <c:pt idx="1">
                  <c:v>-2.7199999999999989</c:v>
                </c:pt>
                <c:pt idx="2">
                  <c:v>-3.1280000000000001</c:v>
                </c:pt>
                <c:pt idx="3">
                  <c:v>7.879999999999999</c:v>
                </c:pt>
                <c:pt idx="4">
                  <c:v>82.320000000000007</c:v>
                </c:pt>
                <c:pt idx="5">
                  <c:v>565.68000000000006</c:v>
                </c:pt>
                <c:pt idx="6">
                  <c:v>2458.48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72-1E43-AAF6-F14B463FB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24224"/>
        <c:axId val="142041440"/>
      </c:scatterChart>
      <c:valAx>
        <c:axId val="141024224"/>
        <c:scaling>
          <c:orientation val="minMax"/>
          <c:max val="2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Amount expected</a:t>
                </a:r>
                <a:r>
                  <a:rPr lang="en-US" sz="1100" b="1" baseline="0"/>
                  <a:t> pg/ml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0.44070966129233852"/>
              <c:y val="0.886419499070153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41440"/>
        <c:crosses val="autoZero"/>
        <c:crossBetween val="midCat"/>
      </c:valAx>
      <c:valAx>
        <c:axId val="1420414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Amount</a:t>
                </a:r>
                <a:r>
                  <a:rPr lang="en-US" sz="1100" b="1" baseline="0"/>
                  <a:t> observed pg/ml</a:t>
                </a:r>
                <a:endParaRPr lang="en-US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24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BW!$C$3</c:f>
              <c:strCache>
                <c:ptCount val="1"/>
                <c:pt idx="0">
                  <c:v>Standard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BW!$B$7:$B$13</c:f>
              <c:numCache>
                <c:formatCode>0.00</c:formatCode>
                <c:ptCount val="7"/>
                <c:pt idx="0">
                  <c:v>1.1936810295412814</c:v>
                </c:pt>
                <c:pt idx="1">
                  <c:v>1.4947110252052627</c:v>
                </c:pt>
                <c:pt idx="2">
                  <c:v>1.7958800173440752</c:v>
                </c:pt>
                <c:pt idx="3">
                  <c:v>2.0969100130080562</c:v>
                </c:pt>
                <c:pt idx="4">
                  <c:v>2.3979400086720375</c:v>
                </c:pt>
                <c:pt idx="5">
                  <c:v>2.6989700043360187</c:v>
                </c:pt>
                <c:pt idx="6">
                  <c:v>3</c:v>
                </c:pt>
              </c:numCache>
            </c:numRef>
          </c:xVal>
          <c:yVal>
            <c:numRef>
              <c:f>BW!$C$7:$C$13</c:f>
              <c:numCache>
                <c:formatCode>General</c:formatCode>
                <c:ptCount val="7"/>
                <c:pt idx="0">
                  <c:v>0.77500000000000002</c:v>
                </c:pt>
                <c:pt idx="2">
                  <c:v>0.56599999999999995</c:v>
                </c:pt>
                <c:pt idx="4">
                  <c:v>0.38400000000000001</c:v>
                </c:pt>
                <c:pt idx="6">
                  <c:v>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B3-F14A-A563-797AAB877425}"/>
            </c:ext>
          </c:extLst>
        </c:ser>
        <c:ser>
          <c:idx val="1"/>
          <c:order val="1"/>
          <c:tx>
            <c:strRef>
              <c:f>BW!$D$2</c:f>
              <c:strCache>
                <c:ptCount val="1"/>
                <c:pt idx="0">
                  <c:v>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BW!$B$7:$B$11</c:f>
              <c:numCache>
                <c:formatCode>0.00</c:formatCode>
                <c:ptCount val="5"/>
                <c:pt idx="0">
                  <c:v>1.1936810295412814</c:v>
                </c:pt>
                <c:pt idx="1">
                  <c:v>1.4947110252052627</c:v>
                </c:pt>
                <c:pt idx="2">
                  <c:v>1.7958800173440752</c:v>
                </c:pt>
                <c:pt idx="3">
                  <c:v>2.0969100130080562</c:v>
                </c:pt>
                <c:pt idx="4">
                  <c:v>2.3979400086720375</c:v>
                </c:pt>
              </c:numCache>
            </c:numRef>
          </c:xVal>
          <c:yVal>
            <c:numRef>
              <c:f>BW!$D$7:$D$11</c:f>
              <c:numCache>
                <c:formatCode>General</c:formatCode>
                <c:ptCount val="5"/>
                <c:pt idx="1">
                  <c:v>0.81599999999999995</c:v>
                </c:pt>
                <c:pt idx="2">
                  <c:v>0.71299999999999997</c:v>
                </c:pt>
                <c:pt idx="3">
                  <c:v>0.5675</c:v>
                </c:pt>
                <c:pt idx="4">
                  <c:v>0.4425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B3-F14A-A563-797AAB877425}"/>
            </c:ext>
          </c:extLst>
        </c:ser>
        <c:ser>
          <c:idx val="2"/>
          <c:order val="2"/>
          <c:tx>
            <c:strRef>
              <c:f>BW!$E$2</c:f>
              <c:strCache>
                <c:ptCount val="1"/>
                <c:pt idx="0">
                  <c:v>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BW!$B$7:$B$11</c:f>
              <c:numCache>
                <c:formatCode>0.00</c:formatCode>
                <c:ptCount val="5"/>
                <c:pt idx="0">
                  <c:v>1.1936810295412814</c:v>
                </c:pt>
                <c:pt idx="1">
                  <c:v>1.4947110252052627</c:v>
                </c:pt>
                <c:pt idx="2">
                  <c:v>1.7958800173440752</c:v>
                </c:pt>
                <c:pt idx="3">
                  <c:v>2.0969100130080562</c:v>
                </c:pt>
                <c:pt idx="4">
                  <c:v>2.3979400086720375</c:v>
                </c:pt>
              </c:numCache>
            </c:numRef>
          </c:xVal>
          <c:yVal>
            <c:numRef>
              <c:f>BW!$E$7:$E$11</c:f>
              <c:numCache>
                <c:formatCode>General</c:formatCode>
                <c:ptCount val="5"/>
                <c:pt idx="0">
                  <c:v>0.88949999999999996</c:v>
                </c:pt>
                <c:pt idx="1">
                  <c:v>0.89749999999999996</c:v>
                </c:pt>
                <c:pt idx="2">
                  <c:v>0.76649999999999996</c:v>
                </c:pt>
                <c:pt idx="3">
                  <c:v>0.78800000000000003</c:v>
                </c:pt>
                <c:pt idx="4">
                  <c:v>0.77349999999999997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B3-F14A-A563-797AAB877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854896"/>
        <c:axId val="797856624"/>
      </c:scatterChart>
      <c:valAx>
        <c:axId val="797854896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856624"/>
        <c:crosses val="autoZero"/>
        <c:crossBetween val="midCat"/>
      </c:valAx>
      <c:valAx>
        <c:axId val="79785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85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BLUE</a:t>
            </a:r>
            <a:r>
              <a:rPr lang="en-US" baseline="0"/>
              <a:t> WHALE PARALLELISM ALDOSTERONE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28695799459323"/>
          <c:y val="0.1597047450668708"/>
          <c:w val="0.68846279052324921"/>
          <c:h val="0.69458037658250549"/>
        </c:manualLayout>
      </c:layout>
      <c:scatterChart>
        <c:scatterStyle val="lineMarker"/>
        <c:varyColors val="0"/>
        <c:ser>
          <c:idx val="2"/>
          <c:order val="0"/>
          <c:tx>
            <c:strRef>
              <c:f>'BW-2'!$C$2</c:f>
              <c:strCache>
                <c:ptCount val="1"/>
                <c:pt idx="0">
                  <c:v>Standard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2015904536653043"/>
                  <c:y val="-0.398666185378959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'BW-2'!$B$5:$B$11</c:f>
              <c:numCache>
                <c:formatCode>0.00</c:formatCode>
                <c:ptCount val="7"/>
                <c:pt idx="0">
                  <c:v>0.89276223461581683</c:v>
                </c:pt>
                <c:pt idx="1">
                  <c:v>1.1937922302797981</c:v>
                </c:pt>
                <c:pt idx="2">
                  <c:v>1.4948222259437791</c:v>
                </c:pt>
                <c:pt idx="3">
                  <c:v>1.7958522216077604</c:v>
                </c:pt>
                <c:pt idx="4">
                  <c:v>2.0968822172717414</c:v>
                </c:pt>
                <c:pt idx="5">
                  <c:v>2.3979122129357227</c:v>
                </c:pt>
                <c:pt idx="6">
                  <c:v>2.6989422085997039</c:v>
                </c:pt>
              </c:numCache>
            </c:numRef>
          </c:xVal>
          <c:yVal>
            <c:numRef>
              <c:f>'BW-2'!$C$5:$C$11</c:f>
              <c:numCache>
                <c:formatCode>General</c:formatCode>
                <c:ptCount val="7"/>
                <c:pt idx="1">
                  <c:v>0.746</c:v>
                </c:pt>
                <c:pt idx="3">
                  <c:v>0.59</c:v>
                </c:pt>
                <c:pt idx="5">
                  <c:v>0.41499999999999998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37-5D48-AD08-566AABCEBBFE}"/>
            </c:ext>
          </c:extLst>
        </c:ser>
        <c:ser>
          <c:idx val="3"/>
          <c:order val="1"/>
          <c:tx>
            <c:strRef>
              <c:f>'BW-2'!$D$1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8620360702314892"/>
                  <c:y val="-0.2209121742060497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'BW-2'!$B$7:$B$10</c:f>
              <c:numCache>
                <c:formatCode>0.00</c:formatCode>
                <c:ptCount val="4"/>
                <c:pt idx="0">
                  <c:v>1.4948222259437791</c:v>
                </c:pt>
                <c:pt idx="1">
                  <c:v>1.7958522216077604</c:v>
                </c:pt>
                <c:pt idx="2">
                  <c:v>2.0968822172717414</c:v>
                </c:pt>
                <c:pt idx="3">
                  <c:v>2.3979122129357227</c:v>
                </c:pt>
              </c:numCache>
            </c:numRef>
          </c:xVal>
          <c:yVal>
            <c:numRef>
              <c:f>'BW-2'!$D$7:$D$10</c:f>
              <c:numCache>
                <c:formatCode>General</c:formatCode>
                <c:ptCount val="4"/>
                <c:pt idx="0">
                  <c:v>0.63</c:v>
                </c:pt>
                <c:pt idx="1">
                  <c:v>0.497</c:v>
                </c:pt>
                <c:pt idx="2">
                  <c:v>0.35249999999999998</c:v>
                </c:pt>
                <c:pt idx="3">
                  <c:v>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37-5D48-AD08-566AABCEBBFE}"/>
            </c:ext>
          </c:extLst>
        </c:ser>
        <c:ser>
          <c:idx val="4"/>
          <c:order val="2"/>
          <c:tx>
            <c:strRef>
              <c:f>'BW-2'!$E$1</c:f>
              <c:strCache>
                <c:ptCount val="1"/>
                <c:pt idx="0">
                  <c:v>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555887549090562"/>
                  <c:y val="-0.25271136109782733"/>
                </c:manualLayout>
              </c:layout>
              <c:numFmt formatCode="General" sourceLinked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'BW-2'!$B$7:$B$11</c:f>
              <c:numCache>
                <c:formatCode>0.00</c:formatCode>
                <c:ptCount val="5"/>
                <c:pt idx="0">
                  <c:v>1.4948222259437791</c:v>
                </c:pt>
                <c:pt idx="1">
                  <c:v>1.7958522216077604</c:v>
                </c:pt>
                <c:pt idx="2">
                  <c:v>2.0968822172717414</c:v>
                </c:pt>
                <c:pt idx="3">
                  <c:v>2.3979122129357227</c:v>
                </c:pt>
                <c:pt idx="4">
                  <c:v>2.6989422085997039</c:v>
                </c:pt>
              </c:numCache>
            </c:numRef>
          </c:xVal>
          <c:yVal>
            <c:numRef>
              <c:f>'BW-2'!$E$7:$E$11</c:f>
              <c:numCache>
                <c:formatCode>General</c:formatCode>
                <c:ptCount val="5"/>
                <c:pt idx="0">
                  <c:v>0.71950000000000003</c:v>
                </c:pt>
                <c:pt idx="1">
                  <c:v>0.73299999999999998</c:v>
                </c:pt>
                <c:pt idx="2">
                  <c:v>0.64800000000000002</c:v>
                </c:pt>
                <c:pt idx="3">
                  <c:v>0.58599999999999997</c:v>
                </c:pt>
                <c:pt idx="4">
                  <c:v>0.42699999999999999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37-5D48-AD08-566AABCEB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861071"/>
        <c:axId val="1296862751"/>
      </c:scatterChart>
      <c:valAx>
        <c:axId val="1296861071"/>
        <c:scaling>
          <c:orientation val="minMax"/>
          <c:min val="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Log10(STD)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862751"/>
        <c:crosses val="autoZero"/>
        <c:crossBetween val="midCat"/>
      </c:valAx>
      <c:valAx>
        <c:axId val="129686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861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046733865409174E-2"/>
          <c:y val="1.5638384853353851E-2"/>
          <c:w val="0.92322258202925012"/>
          <c:h val="0.90263017657889844"/>
        </c:manualLayout>
      </c:layout>
      <c:scatterChart>
        <c:scatterStyle val="lineMarker"/>
        <c:varyColors val="0"/>
        <c:ser>
          <c:idx val="0"/>
          <c:order val="0"/>
          <c:tx>
            <c:strRef>
              <c:f>GW!$B$3</c:f>
              <c:strCache>
                <c:ptCount val="1"/>
                <c:pt idx="0">
                  <c:v>LOG STD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GW!$B$7:$B$15</c:f>
              <c:numCache>
                <c:formatCode>0.00</c:formatCode>
                <c:ptCount val="9"/>
                <c:pt idx="0">
                  <c:v>1.1936810295412814</c:v>
                </c:pt>
                <c:pt idx="1">
                  <c:v>1.4947110252052627</c:v>
                </c:pt>
                <c:pt idx="2">
                  <c:v>1.7958800173440752</c:v>
                </c:pt>
                <c:pt idx="3">
                  <c:v>2.0969100130080562</c:v>
                </c:pt>
                <c:pt idx="4">
                  <c:v>2.3979400086720375</c:v>
                </c:pt>
                <c:pt idx="5">
                  <c:v>2.6989700043360187</c:v>
                </c:pt>
                <c:pt idx="6">
                  <c:v>3</c:v>
                </c:pt>
                <c:pt idx="7">
                  <c:v>3.3010299956639813</c:v>
                </c:pt>
                <c:pt idx="8">
                  <c:v>3.6020599913279625</c:v>
                </c:pt>
              </c:numCache>
            </c:numRef>
          </c:xVal>
          <c:yVal>
            <c:numRef>
              <c:f>GW!$C$7:$C$15</c:f>
              <c:numCache>
                <c:formatCode>General</c:formatCode>
                <c:ptCount val="9"/>
                <c:pt idx="0">
                  <c:v>0.75</c:v>
                </c:pt>
                <c:pt idx="2">
                  <c:v>0.56799999999999995</c:v>
                </c:pt>
                <c:pt idx="4">
                  <c:v>0.378</c:v>
                </c:pt>
                <c:pt idx="6">
                  <c:v>0.216</c:v>
                </c:pt>
                <c:pt idx="8">
                  <c:v>0.13100000000000001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12-8A48-9CA4-DCF3F4E3B6A8}"/>
            </c:ext>
          </c:extLst>
        </c:ser>
        <c:ser>
          <c:idx val="1"/>
          <c:order val="1"/>
          <c:tx>
            <c:strRef>
              <c:f>GW!$D$2</c:f>
              <c:strCache>
                <c:ptCount val="1"/>
                <c:pt idx="0">
                  <c:v>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GW!$B$9:$B$13</c:f>
              <c:numCache>
                <c:formatCode>0.00</c:formatCode>
                <c:ptCount val="5"/>
                <c:pt idx="0">
                  <c:v>1.7958800173440752</c:v>
                </c:pt>
                <c:pt idx="1">
                  <c:v>2.0969100130080562</c:v>
                </c:pt>
                <c:pt idx="2">
                  <c:v>2.3979400086720375</c:v>
                </c:pt>
                <c:pt idx="3">
                  <c:v>2.6989700043360187</c:v>
                </c:pt>
                <c:pt idx="4">
                  <c:v>3</c:v>
                </c:pt>
              </c:numCache>
            </c:numRef>
          </c:xVal>
          <c:yVal>
            <c:numRef>
              <c:f>GW!$D$9:$D$13</c:f>
              <c:numCache>
                <c:formatCode>General</c:formatCode>
                <c:ptCount val="5"/>
                <c:pt idx="0">
                  <c:v>0.80900000000000005</c:v>
                </c:pt>
                <c:pt idx="1">
                  <c:v>0.77100000000000002</c:v>
                </c:pt>
                <c:pt idx="2">
                  <c:v>0.79700000000000004</c:v>
                </c:pt>
                <c:pt idx="3">
                  <c:v>0.70199999999999996</c:v>
                </c:pt>
                <c:pt idx="4">
                  <c:v>0.63300000000000001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12-8A48-9CA4-DCF3F4E3B6A8}"/>
            </c:ext>
          </c:extLst>
        </c:ser>
        <c:ser>
          <c:idx val="2"/>
          <c:order val="2"/>
          <c:tx>
            <c:strRef>
              <c:f>GW!$E$2</c:f>
              <c:strCache>
                <c:ptCount val="1"/>
                <c:pt idx="0">
                  <c:v>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GW!$B$9:$B$13</c:f>
              <c:numCache>
                <c:formatCode>0.00</c:formatCode>
                <c:ptCount val="5"/>
                <c:pt idx="0">
                  <c:v>1.7958800173440752</c:v>
                </c:pt>
                <c:pt idx="1">
                  <c:v>2.0969100130080562</c:v>
                </c:pt>
                <c:pt idx="2">
                  <c:v>2.3979400086720375</c:v>
                </c:pt>
                <c:pt idx="3">
                  <c:v>2.6989700043360187</c:v>
                </c:pt>
                <c:pt idx="4">
                  <c:v>3</c:v>
                </c:pt>
              </c:numCache>
            </c:numRef>
          </c:xVal>
          <c:yVal>
            <c:numRef>
              <c:f>GW!$E$9:$E$13</c:f>
              <c:numCache>
                <c:formatCode>General</c:formatCode>
                <c:ptCount val="5"/>
                <c:pt idx="0">
                  <c:v>0.82650000000000001</c:v>
                </c:pt>
                <c:pt idx="1">
                  <c:v>0.79149999999999998</c:v>
                </c:pt>
                <c:pt idx="2">
                  <c:v>0.754</c:v>
                </c:pt>
                <c:pt idx="3">
                  <c:v>0.63700000000000001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12-8A48-9CA4-DCF3F4E3B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293872"/>
        <c:axId val="1942235104"/>
      </c:scatterChart>
      <c:valAx>
        <c:axId val="194329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235104"/>
        <c:crosses val="autoZero"/>
        <c:crossBetween val="midCat"/>
      </c:valAx>
      <c:valAx>
        <c:axId val="194223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29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Gray</a:t>
            </a:r>
            <a:r>
              <a:rPr lang="en-US" baseline="0"/>
              <a:t> whale parallelism- ALDOSTERONE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'GW-2'!$C$2</c:f>
              <c:strCache>
                <c:ptCount val="1"/>
                <c:pt idx="0">
                  <c:v>Standard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6315712525324254E-2"/>
                  <c:y val="0.24438599750923992"/>
                </c:manualLayout>
              </c:layout>
              <c:numFmt formatCode="General" sourceLinked="0"/>
              <c:spPr>
                <a:solidFill>
                  <a:schemeClr val="tx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'GW-2'!$B$4:$B$10</c:f>
              <c:numCache>
                <c:formatCode>0.00</c:formatCode>
                <c:ptCount val="7"/>
                <c:pt idx="0">
                  <c:v>0.59173223895183558</c:v>
                </c:pt>
                <c:pt idx="1">
                  <c:v>0.89276223461581683</c:v>
                </c:pt>
                <c:pt idx="2">
                  <c:v>1.1937922302797981</c:v>
                </c:pt>
                <c:pt idx="3">
                  <c:v>1.4948222259437791</c:v>
                </c:pt>
                <c:pt idx="4">
                  <c:v>1.7958522216077604</c:v>
                </c:pt>
                <c:pt idx="5">
                  <c:v>2.0968822172717414</c:v>
                </c:pt>
                <c:pt idx="6">
                  <c:v>2.3979122129357227</c:v>
                </c:pt>
              </c:numCache>
            </c:numRef>
          </c:xVal>
          <c:yVal>
            <c:numRef>
              <c:f>'GW-2'!$C$4:$C$10</c:f>
              <c:numCache>
                <c:formatCode>General</c:formatCode>
                <c:ptCount val="7"/>
                <c:pt idx="0">
                  <c:v>0.82099999999999995</c:v>
                </c:pt>
                <c:pt idx="2">
                  <c:v>0.746</c:v>
                </c:pt>
                <c:pt idx="4">
                  <c:v>0.59</c:v>
                </c:pt>
                <c:pt idx="6">
                  <c:v>0.41499999999999998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12-574F-B357-C6D919A3883F}"/>
            </c:ext>
          </c:extLst>
        </c:ser>
        <c:ser>
          <c:idx val="1"/>
          <c:order val="1"/>
          <c:tx>
            <c:strRef>
              <c:f>'GW-2'!$D$1</c:f>
              <c:strCache>
                <c:ptCount val="1"/>
                <c:pt idx="0">
                  <c:v>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6017634731998024E-2"/>
                  <c:y val="5.7577735818736944E-2"/>
                </c:manualLayout>
              </c:layout>
              <c:numFmt formatCode="General" sourceLinked="0"/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'GW-2'!$B$5:$B$9</c:f>
              <c:numCache>
                <c:formatCode>0.00</c:formatCode>
                <c:ptCount val="5"/>
                <c:pt idx="0">
                  <c:v>0.89276223461581683</c:v>
                </c:pt>
                <c:pt idx="1">
                  <c:v>1.1937922302797981</c:v>
                </c:pt>
                <c:pt idx="2">
                  <c:v>1.4948222259437791</c:v>
                </c:pt>
                <c:pt idx="3">
                  <c:v>1.7958522216077604</c:v>
                </c:pt>
                <c:pt idx="4">
                  <c:v>2.0968822172717414</c:v>
                </c:pt>
              </c:numCache>
            </c:numRef>
          </c:xVal>
          <c:yVal>
            <c:numRef>
              <c:f>'GW-2'!$D$5:$D$9</c:f>
              <c:numCache>
                <c:formatCode>General</c:formatCode>
                <c:ptCount val="5"/>
                <c:pt idx="0">
                  <c:v>0.79400000000000004</c:v>
                </c:pt>
                <c:pt idx="1">
                  <c:v>0.66900000000000004</c:v>
                </c:pt>
                <c:pt idx="2">
                  <c:v>0.59150000000000003</c:v>
                </c:pt>
                <c:pt idx="3">
                  <c:v>0.46800000000000003</c:v>
                </c:pt>
                <c:pt idx="4">
                  <c:v>0.30649999999999999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12-574F-B357-C6D919A3883F}"/>
            </c:ext>
          </c:extLst>
        </c:ser>
        <c:ser>
          <c:idx val="2"/>
          <c:order val="2"/>
          <c:tx>
            <c:strRef>
              <c:f>'GW-2'!$E$1</c:f>
              <c:strCache>
                <c:ptCount val="1"/>
                <c:pt idx="0">
                  <c:v>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6017634731998024E-2"/>
                  <c:y val="0.14591535433070865"/>
                </c:manualLayout>
              </c:layout>
              <c:numFmt formatCode="General" sourceLinked="0"/>
              <c:spPr>
                <a:solidFill>
                  <a:schemeClr val="bg2">
                    <a:lumMod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'GW-2'!$B$5:$B$9</c:f>
              <c:numCache>
                <c:formatCode>0.00</c:formatCode>
                <c:ptCount val="5"/>
                <c:pt idx="0">
                  <c:v>0.89276223461581683</c:v>
                </c:pt>
                <c:pt idx="1">
                  <c:v>1.1937922302797981</c:v>
                </c:pt>
                <c:pt idx="2">
                  <c:v>1.4948222259437791</c:v>
                </c:pt>
                <c:pt idx="3">
                  <c:v>1.7958522216077604</c:v>
                </c:pt>
                <c:pt idx="4">
                  <c:v>2.0968822172717414</c:v>
                </c:pt>
              </c:numCache>
            </c:numRef>
          </c:xVal>
          <c:yVal>
            <c:numRef>
              <c:f>'GW-2'!$E$5:$E$9</c:f>
              <c:numCache>
                <c:formatCode>General</c:formatCode>
                <c:ptCount val="5"/>
                <c:pt idx="0">
                  <c:v>0.78600000000000003</c:v>
                </c:pt>
                <c:pt idx="1">
                  <c:v>0.67649999999999999</c:v>
                </c:pt>
                <c:pt idx="2">
                  <c:v>0.60750000000000004</c:v>
                </c:pt>
                <c:pt idx="3">
                  <c:v>0.505</c:v>
                </c:pt>
                <c:pt idx="4">
                  <c:v>0.34300000000000003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12-574F-B357-C6D919A38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064671"/>
        <c:axId val="1297387503"/>
      </c:scatterChart>
      <c:valAx>
        <c:axId val="1271064671"/>
        <c:scaling>
          <c:orientation val="minMax"/>
          <c:min val="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Log10(STD)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87503"/>
        <c:crosses val="autoZero"/>
        <c:crossBetween val="midCat"/>
      </c:valAx>
      <c:valAx>
        <c:axId val="129738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064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4164421423449387"/>
          <c:y val="0.10274109151534631"/>
          <c:w val="0.10764010662794739"/>
          <c:h val="0.158586025016920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22489675352334E-2"/>
          <c:y val="4.7356688135679677E-2"/>
          <c:w val="0.90288802114093736"/>
          <c:h val="0.81675752379805655"/>
        </c:manualLayout>
      </c:layout>
      <c:scatterChart>
        <c:scatterStyle val="lineMarker"/>
        <c:varyColors val="0"/>
        <c:ser>
          <c:idx val="0"/>
          <c:order val="0"/>
          <c:tx>
            <c:strRef>
              <c:f>'GW-2'!$C$26</c:f>
              <c:strCache>
                <c:ptCount val="1"/>
                <c:pt idx="0">
                  <c:v>Standard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6911565236274931"/>
                  <c:y val="6.1605815342140749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'GW-2'!$B$27:$B$38</c:f>
              <c:numCache>
                <c:formatCode>0.00</c:formatCode>
                <c:ptCount val="12"/>
                <c:pt idx="0">
                  <c:v>0</c:v>
                </c:pt>
                <c:pt idx="1">
                  <c:v>0.59173223895183558</c:v>
                </c:pt>
                <c:pt idx="2">
                  <c:v>0.89276223461581683</c:v>
                </c:pt>
                <c:pt idx="3">
                  <c:v>1.1937922302797981</c:v>
                </c:pt>
                <c:pt idx="4">
                  <c:v>1.4948222259437791</c:v>
                </c:pt>
                <c:pt idx="5">
                  <c:v>1.7958522216077604</c:v>
                </c:pt>
                <c:pt idx="6">
                  <c:v>2.0968822172717414</c:v>
                </c:pt>
                <c:pt idx="7">
                  <c:v>2.3979122129357227</c:v>
                </c:pt>
                <c:pt idx="8">
                  <c:v>2.6989422085997039</c:v>
                </c:pt>
                <c:pt idx="9">
                  <c:v>2.9999722042636852</c:v>
                </c:pt>
                <c:pt idx="10">
                  <c:v>3.3010021999276664</c:v>
                </c:pt>
                <c:pt idx="11">
                  <c:v>3.6020321955916477</c:v>
                </c:pt>
              </c:numCache>
            </c:numRef>
          </c:xVal>
          <c:yVal>
            <c:numRef>
              <c:f>'GW-2'!$C$27:$C$38</c:f>
              <c:numCache>
                <c:formatCode>General</c:formatCode>
                <c:ptCount val="12"/>
                <c:pt idx="0">
                  <c:v>0.90300000000000002</c:v>
                </c:pt>
                <c:pt idx="1">
                  <c:v>0.95199999999999996</c:v>
                </c:pt>
                <c:pt idx="3">
                  <c:v>0.872</c:v>
                </c:pt>
                <c:pt idx="5">
                  <c:v>0.71689999999999998</c:v>
                </c:pt>
                <c:pt idx="7">
                  <c:v>0.50600000000000001</c:v>
                </c:pt>
                <c:pt idx="9">
                  <c:v>0.28199999999999997</c:v>
                </c:pt>
                <c:pt idx="11">
                  <c:v>0.17199999999999999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059-B148-8F96-5EB3EF1874A7}"/>
            </c:ext>
          </c:extLst>
        </c:ser>
        <c:ser>
          <c:idx val="1"/>
          <c:order val="1"/>
          <c:tx>
            <c:strRef>
              <c:f>'GW-2'!$D$26</c:f>
              <c:strCache>
                <c:ptCount val="1"/>
                <c:pt idx="0">
                  <c:v>Female 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'GW-2'!$B$32:$B$35</c:f>
              <c:numCache>
                <c:formatCode>0.00</c:formatCode>
                <c:ptCount val="4"/>
                <c:pt idx="0">
                  <c:v>1.7958522216077604</c:v>
                </c:pt>
                <c:pt idx="1">
                  <c:v>2.0968822172717414</c:v>
                </c:pt>
                <c:pt idx="2">
                  <c:v>2.3979122129357227</c:v>
                </c:pt>
                <c:pt idx="3">
                  <c:v>2.6989422085997039</c:v>
                </c:pt>
              </c:numCache>
            </c:numRef>
          </c:xVal>
          <c:yVal>
            <c:numRef>
              <c:f>'GW-2'!$D$32:$D$35</c:f>
              <c:numCache>
                <c:formatCode>General</c:formatCode>
                <c:ptCount val="4"/>
                <c:pt idx="0">
                  <c:v>1.06</c:v>
                </c:pt>
                <c:pt idx="2">
                  <c:v>0.96299999999999997</c:v>
                </c:pt>
                <c:pt idx="3">
                  <c:v>0.89200000000000002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059-B148-8F96-5EB3EF1874A7}"/>
            </c:ext>
          </c:extLst>
        </c:ser>
        <c:ser>
          <c:idx val="2"/>
          <c:order val="2"/>
          <c:tx>
            <c:strRef>
              <c:f>'GW-2'!$F$26</c:f>
              <c:strCache>
                <c:ptCount val="1"/>
                <c:pt idx="0">
                  <c:v>Female Str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462693864222368"/>
                  <c:y val="3.6355640904927951E-3"/>
                </c:manualLayout>
              </c:layout>
              <c:numFmt formatCode="General" sourceLinked="0"/>
              <c:spPr>
                <a:solidFill>
                  <a:schemeClr val="bg2">
                    <a:lumMod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'GW-2'!$B$31:$B$36</c:f>
              <c:numCache>
                <c:formatCode>0.00</c:formatCode>
                <c:ptCount val="6"/>
                <c:pt idx="0">
                  <c:v>1.4948222259437791</c:v>
                </c:pt>
                <c:pt idx="1">
                  <c:v>1.7958522216077604</c:v>
                </c:pt>
                <c:pt idx="2">
                  <c:v>2.0968822172717414</c:v>
                </c:pt>
                <c:pt idx="3">
                  <c:v>2.3979122129357227</c:v>
                </c:pt>
                <c:pt idx="4">
                  <c:v>2.6989422085997039</c:v>
                </c:pt>
                <c:pt idx="5">
                  <c:v>2.9999722042636852</c:v>
                </c:pt>
              </c:numCache>
            </c:numRef>
          </c:xVal>
          <c:yVal>
            <c:numRef>
              <c:f>'GW-2'!$F$31:$F$36</c:f>
              <c:numCache>
                <c:formatCode>General</c:formatCode>
                <c:ptCount val="6"/>
                <c:pt idx="0">
                  <c:v>0.89400000000000002</c:v>
                </c:pt>
                <c:pt idx="1">
                  <c:v>0.80300000000000005</c:v>
                </c:pt>
                <c:pt idx="2">
                  <c:v>0.79800000000000004</c:v>
                </c:pt>
                <c:pt idx="3">
                  <c:v>0.67400000000000004</c:v>
                </c:pt>
                <c:pt idx="4">
                  <c:v>0.45400000000000001</c:v>
                </c:pt>
                <c:pt idx="5">
                  <c:v>0.35399999999999998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059-B148-8F96-5EB3EF187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428112"/>
        <c:axId val="1967429744"/>
      </c:scatterChart>
      <c:valAx>
        <c:axId val="1967428112"/>
        <c:scaling>
          <c:orientation val="minMax"/>
          <c:min val="0.5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429744"/>
        <c:crosses val="autoZero"/>
        <c:crossBetween val="midCat"/>
      </c:valAx>
      <c:valAx>
        <c:axId val="1967429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428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'GW-2'!$C$26</c:f>
              <c:strCache>
                <c:ptCount val="1"/>
                <c:pt idx="0">
                  <c:v>Standard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'GW-2'!$B$27:$B$38</c:f>
              <c:numCache>
                <c:formatCode>0.00</c:formatCode>
                <c:ptCount val="12"/>
                <c:pt idx="0">
                  <c:v>0</c:v>
                </c:pt>
                <c:pt idx="1">
                  <c:v>0.59173223895183558</c:v>
                </c:pt>
                <c:pt idx="2">
                  <c:v>0.89276223461581683</c:v>
                </c:pt>
                <c:pt idx="3">
                  <c:v>1.1937922302797981</c:v>
                </c:pt>
                <c:pt idx="4">
                  <c:v>1.4948222259437791</c:v>
                </c:pt>
                <c:pt idx="5">
                  <c:v>1.7958522216077604</c:v>
                </c:pt>
                <c:pt idx="6">
                  <c:v>2.0968822172717414</c:v>
                </c:pt>
                <c:pt idx="7">
                  <c:v>2.3979122129357227</c:v>
                </c:pt>
                <c:pt idx="8">
                  <c:v>2.6989422085997039</c:v>
                </c:pt>
                <c:pt idx="9">
                  <c:v>2.9999722042636852</c:v>
                </c:pt>
                <c:pt idx="10">
                  <c:v>3.3010021999276664</c:v>
                </c:pt>
                <c:pt idx="11">
                  <c:v>3.6020321955916477</c:v>
                </c:pt>
              </c:numCache>
            </c:numRef>
          </c:xVal>
          <c:yVal>
            <c:numRef>
              <c:f>'GW-2'!$C$27:$C$38</c:f>
              <c:numCache>
                <c:formatCode>General</c:formatCode>
                <c:ptCount val="12"/>
                <c:pt idx="0">
                  <c:v>0.90300000000000002</c:v>
                </c:pt>
                <c:pt idx="1">
                  <c:v>0.95199999999999996</c:v>
                </c:pt>
                <c:pt idx="3">
                  <c:v>0.872</c:v>
                </c:pt>
                <c:pt idx="5">
                  <c:v>0.71689999999999998</c:v>
                </c:pt>
                <c:pt idx="7">
                  <c:v>0.50600000000000001</c:v>
                </c:pt>
                <c:pt idx="9">
                  <c:v>0.28199999999999997</c:v>
                </c:pt>
                <c:pt idx="11">
                  <c:v>0.17199999999999999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96-1849-A594-98D19806F608}"/>
            </c:ext>
          </c:extLst>
        </c:ser>
        <c:ser>
          <c:idx val="1"/>
          <c:order val="1"/>
          <c:tx>
            <c:strRef>
              <c:f>'GW-2'!$E$26</c:f>
              <c:strCache>
                <c:ptCount val="1"/>
                <c:pt idx="0">
                  <c:v>Male 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'GW-2'!$B$31:$B$34</c:f>
              <c:numCache>
                <c:formatCode>0.00</c:formatCode>
                <c:ptCount val="4"/>
                <c:pt idx="0">
                  <c:v>1.4948222259437791</c:v>
                </c:pt>
                <c:pt idx="1">
                  <c:v>1.7958522216077604</c:v>
                </c:pt>
                <c:pt idx="2">
                  <c:v>2.0968822172717414</c:v>
                </c:pt>
                <c:pt idx="3">
                  <c:v>2.3979122129357227</c:v>
                </c:pt>
              </c:numCache>
            </c:numRef>
          </c:xVal>
          <c:yVal>
            <c:numRef>
              <c:f>'GW-2'!$E$31:$E$34</c:f>
              <c:numCache>
                <c:formatCode>General</c:formatCode>
                <c:ptCount val="4"/>
                <c:pt idx="0">
                  <c:v>0.97799999999999998</c:v>
                </c:pt>
                <c:pt idx="1">
                  <c:v>0.93100000000000005</c:v>
                </c:pt>
                <c:pt idx="2">
                  <c:v>0.89400000000000002</c:v>
                </c:pt>
                <c:pt idx="3">
                  <c:v>0.78300000000000003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96-1849-A594-98D19806F608}"/>
            </c:ext>
          </c:extLst>
        </c:ser>
        <c:ser>
          <c:idx val="2"/>
          <c:order val="2"/>
          <c:tx>
            <c:strRef>
              <c:f>'GW-2'!$G$26</c:f>
              <c:strCache>
                <c:ptCount val="1"/>
                <c:pt idx="0">
                  <c:v>Male stra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4607392097074418"/>
                  <c:y val="-5.9163122186076892E-3"/>
                </c:manualLayout>
              </c:layout>
              <c:numFmt formatCode="General" sourceLinked="0"/>
              <c:spPr>
                <a:solidFill>
                  <a:schemeClr val="bg2">
                    <a:lumMod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'GW-2'!$B$33:$B$36</c:f>
              <c:numCache>
                <c:formatCode>0.00</c:formatCode>
                <c:ptCount val="4"/>
                <c:pt idx="0">
                  <c:v>2.0968822172717414</c:v>
                </c:pt>
                <c:pt idx="1">
                  <c:v>2.3979122129357227</c:v>
                </c:pt>
                <c:pt idx="2">
                  <c:v>2.6989422085997039</c:v>
                </c:pt>
                <c:pt idx="3">
                  <c:v>2.9999722042636852</c:v>
                </c:pt>
              </c:numCache>
            </c:numRef>
          </c:xVal>
          <c:yVal>
            <c:numRef>
              <c:f>'GW-2'!$G$31:$G$34</c:f>
              <c:numCache>
                <c:formatCode>General</c:formatCode>
                <c:ptCount val="4"/>
                <c:pt idx="0">
                  <c:v>0.98399999999999999</c:v>
                </c:pt>
                <c:pt idx="1">
                  <c:v>0.90800000000000003</c:v>
                </c:pt>
                <c:pt idx="2">
                  <c:v>0.82</c:v>
                </c:pt>
                <c:pt idx="3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96-1849-A594-98D19806F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094048"/>
        <c:axId val="1967455648"/>
      </c:scatterChart>
      <c:valAx>
        <c:axId val="196309404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455648"/>
        <c:crosses val="autoZero"/>
        <c:crossBetween val="midCat"/>
      </c:valAx>
      <c:valAx>
        <c:axId val="196745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09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3354089710604"/>
          <c:y val="2.0894571853471169E-2"/>
          <c:w val="0.82756040658200791"/>
          <c:h val="0.83460353484704564"/>
        </c:manualLayout>
      </c:layout>
      <c:scatterChart>
        <c:scatterStyle val="lineMarker"/>
        <c:varyColors val="0"/>
        <c:ser>
          <c:idx val="0"/>
          <c:order val="0"/>
          <c:tx>
            <c:strRef>
              <c:f>'GW-2'!$D$74</c:f>
              <c:strCache>
                <c:ptCount val="1"/>
                <c:pt idx="0">
                  <c:v>OBServed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'GW-2'!$B$75:$B$81</c:f>
              <c:numCache>
                <c:formatCode>General</c:formatCode>
                <c:ptCount val="7"/>
                <c:pt idx="0">
                  <c:v>0</c:v>
                </c:pt>
                <c:pt idx="1">
                  <c:v>1.95</c:v>
                </c:pt>
                <c:pt idx="2">
                  <c:v>7.81</c:v>
                </c:pt>
                <c:pt idx="3">
                  <c:v>31.25</c:v>
                </c:pt>
                <c:pt idx="4">
                  <c:v>125</c:v>
                </c:pt>
                <c:pt idx="5">
                  <c:v>500</c:v>
                </c:pt>
                <c:pt idx="6">
                  <c:v>2000</c:v>
                </c:pt>
              </c:numCache>
            </c:numRef>
          </c:xVal>
          <c:yVal>
            <c:numRef>
              <c:f>'GW-2'!$D$75:$D$81</c:f>
              <c:numCache>
                <c:formatCode>General</c:formatCode>
                <c:ptCount val="7"/>
                <c:pt idx="0">
                  <c:v>0</c:v>
                </c:pt>
                <c:pt idx="1">
                  <c:v>1.5199999999999996</c:v>
                </c:pt>
                <c:pt idx="2">
                  <c:v>19.820000000000004</c:v>
                </c:pt>
                <c:pt idx="3">
                  <c:v>44.92</c:v>
                </c:pt>
                <c:pt idx="4">
                  <c:v>197.72</c:v>
                </c:pt>
                <c:pt idx="5">
                  <c:v>507.82000000000005</c:v>
                </c:pt>
                <c:pt idx="6">
                  <c:v>2357.12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B0-BE44-B960-E194A26B450F}"/>
            </c:ext>
          </c:extLst>
        </c:ser>
        <c:ser>
          <c:idx val="1"/>
          <c:order val="1"/>
          <c:tx>
            <c:strRef>
              <c:f>'GW-2'!$F$73</c:f>
              <c:strCache>
                <c:ptCount val="1"/>
                <c:pt idx="0">
                  <c:v>MALE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5935832856723114"/>
                  <c:y val="7.1439924729811682E-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'GW-2'!$B$75:$B$81</c:f>
              <c:numCache>
                <c:formatCode>General</c:formatCode>
                <c:ptCount val="7"/>
                <c:pt idx="0">
                  <c:v>0</c:v>
                </c:pt>
                <c:pt idx="1">
                  <c:v>1.95</c:v>
                </c:pt>
                <c:pt idx="2">
                  <c:v>7.81</c:v>
                </c:pt>
                <c:pt idx="3">
                  <c:v>31.25</c:v>
                </c:pt>
                <c:pt idx="4">
                  <c:v>125</c:v>
                </c:pt>
                <c:pt idx="5">
                  <c:v>500</c:v>
                </c:pt>
                <c:pt idx="6">
                  <c:v>2000</c:v>
                </c:pt>
              </c:numCache>
            </c:numRef>
          </c:xVal>
          <c:yVal>
            <c:numRef>
              <c:f>'GW-2'!$G$75:$G$81</c:f>
              <c:numCache>
                <c:formatCode>General</c:formatCode>
                <c:ptCount val="7"/>
                <c:pt idx="0">
                  <c:v>0</c:v>
                </c:pt>
                <c:pt idx="1">
                  <c:v>1.7</c:v>
                </c:pt>
                <c:pt idx="2">
                  <c:v>4.5999999999999996</c:v>
                </c:pt>
                <c:pt idx="3">
                  <c:v>15.6</c:v>
                </c:pt>
                <c:pt idx="4">
                  <c:v>119.8</c:v>
                </c:pt>
                <c:pt idx="5">
                  <c:v>562.6</c:v>
                </c:pt>
                <c:pt idx="6">
                  <c:v>2036.8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B0-BE44-B960-E194A26B4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691616"/>
        <c:axId val="298697616"/>
      </c:scatterChart>
      <c:valAx>
        <c:axId val="2986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697616"/>
        <c:crosses val="autoZero"/>
        <c:crossBetween val="midCat"/>
      </c:valAx>
      <c:valAx>
        <c:axId val="29869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691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Dilution linearity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Sheet1!$D$5:$D$8</c:f>
              <c:numCache>
                <c:formatCode>General</c:formatCode>
                <c:ptCount val="4"/>
                <c:pt idx="0">
                  <c:v>22.34</c:v>
                </c:pt>
                <c:pt idx="1">
                  <c:v>44.68</c:v>
                </c:pt>
                <c:pt idx="2">
                  <c:v>89.36</c:v>
                </c:pt>
                <c:pt idx="3">
                  <c:v>178.72</c:v>
                </c:pt>
              </c:numCache>
            </c:numRef>
          </c:xVal>
          <c:yVal>
            <c:numRef>
              <c:f>Sheet1!$B$5:$B$8</c:f>
              <c:numCache>
                <c:formatCode>General</c:formatCode>
                <c:ptCount val="4"/>
                <c:pt idx="0">
                  <c:v>22.34</c:v>
                </c:pt>
                <c:pt idx="1">
                  <c:v>94.67</c:v>
                </c:pt>
                <c:pt idx="2">
                  <c:v>421.4</c:v>
                </c:pt>
                <c:pt idx="3">
                  <c:v>911.68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17-D449-A825-AE739CAA3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538496"/>
        <c:axId val="1709815536"/>
      </c:scatterChart>
      <c:valAx>
        <c:axId val="170953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815536"/>
        <c:crosses val="autoZero"/>
        <c:crossBetween val="midCat"/>
      </c:valAx>
      <c:valAx>
        <c:axId val="170981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538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431800</xdr:colOff>
      <xdr:row>11</xdr:row>
      <xdr:rowOff>63500</xdr:rowOff>
    </xdr:from>
    <xdr:to>
      <xdr:col>21</xdr:col>
      <xdr:colOff>177800</xdr:colOff>
      <xdr:row>36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609600</xdr:colOff>
      <xdr:row>16</xdr:row>
      <xdr:rowOff>194734</xdr:rowOff>
    </xdr:from>
    <xdr:to>
      <xdr:col>12</xdr:col>
      <xdr:colOff>84667</xdr:colOff>
      <xdr:row>40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A0955-8B5A-A348-B394-996CD4D85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121744</xdr:colOff>
      <xdr:row>0</xdr:row>
      <xdr:rowOff>127437</xdr:rowOff>
    </xdr:from>
    <xdr:to>
      <xdr:col>18</xdr:col>
      <xdr:colOff>371365</xdr:colOff>
      <xdr:row>35</xdr:row>
      <xdr:rowOff>10948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018ECC-13C3-E240-930F-36C2255CA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0.48564</cdr:x>
      <cdr:y>0.4529</cdr:y>
    </cdr:from>
    <cdr:to>
      <cdr:x>0.5444</cdr:x>
      <cdr:y>0.48194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4834C00-E93F-264B-B9E1-C575D085CF53}"/>
            </a:ext>
          </a:extLst>
        </cdr:cNvPr>
        <cdr:cNvSpPr txBox="1"/>
      </cdr:nvSpPr>
      <cdr:spPr>
        <a:xfrm xmlns:a="http://schemas.openxmlformats.org/drawingml/2006/main">
          <a:off x="3710152" y="3244631"/>
          <a:ext cx="448880" cy="2080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N</a:t>
          </a:r>
        </a:p>
      </cdr:txBody>
    </cdr:sp>
  </cdr:relSizeAnchor>
  <cdr:relSizeAnchor xmlns:cdr="http://schemas.openxmlformats.org/drawingml/2006/chartDrawing">
    <cdr:from>
      <cdr:x>0.61571</cdr:x>
      <cdr:y>0.33107</cdr:y>
    </cdr:from>
    <cdr:to>
      <cdr:x>0.67446</cdr:x>
      <cdr:y>0.36011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EE50311E-85A3-524C-88BC-50F5D0E43A6A}"/>
            </a:ext>
          </a:extLst>
        </cdr:cNvPr>
        <cdr:cNvSpPr txBox="1"/>
      </cdr:nvSpPr>
      <cdr:spPr>
        <a:xfrm xmlns:a="http://schemas.openxmlformats.org/drawingml/2006/main">
          <a:off x="4703817" y="2371833"/>
          <a:ext cx="448880" cy="2080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N</a:t>
          </a:r>
        </a:p>
      </cdr:txBody>
    </cdr:sp>
  </cdr:relSizeAnchor>
  <cdr:relSizeAnchor xmlns:cdr="http://schemas.openxmlformats.org/drawingml/2006/chartDrawing">
    <cdr:from>
      <cdr:x>0.55982</cdr:x>
      <cdr:y>0.571</cdr:y>
    </cdr:from>
    <cdr:to>
      <cdr:x>0.61857</cdr:x>
      <cdr:y>0.60004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EE50311E-85A3-524C-88BC-50F5D0E43A6A}"/>
            </a:ext>
          </a:extLst>
        </cdr:cNvPr>
        <cdr:cNvSpPr txBox="1"/>
      </cdr:nvSpPr>
      <cdr:spPr>
        <a:xfrm xmlns:a="http://schemas.openxmlformats.org/drawingml/2006/main">
          <a:off x="4276834" y="4090713"/>
          <a:ext cx="448880" cy="2080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2:1</a:t>
          </a:r>
        </a:p>
      </cdr:txBody>
    </cdr:sp>
  </cdr:relSizeAnchor>
  <cdr:relSizeAnchor xmlns:cdr="http://schemas.openxmlformats.org/drawingml/2006/chartDrawing">
    <cdr:from>
      <cdr:x>0.40648</cdr:x>
      <cdr:y>0.36622</cdr:y>
    </cdr:from>
    <cdr:to>
      <cdr:x>0.46523</cdr:x>
      <cdr:y>0.39526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A71862F-A9C4-3241-84C2-306B04EA9ABB}"/>
            </a:ext>
          </a:extLst>
        </cdr:cNvPr>
        <cdr:cNvSpPr txBox="1"/>
      </cdr:nvSpPr>
      <cdr:spPr>
        <a:xfrm xmlns:a="http://schemas.openxmlformats.org/drawingml/2006/main">
          <a:off x="3105369" y="2623645"/>
          <a:ext cx="448880" cy="2080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1:2</a:t>
          </a:r>
        </a:p>
      </cdr:txBody>
    </cdr:sp>
  </cdr:relSizeAnchor>
  <cdr:relSizeAnchor xmlns:cdr="http://schemas.openxmlformats.org/drawingml/2006/chartDrawing">
    <cdr:from>
      <cdr:x>0.53259</cdr:x>
      <cdr:y>0.26841</cdr:y>
    </cdr:from>
    <cdr:to>
      <cdr:x>0.59134</cdr:x>
      <cdr:y>0.29745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7FA5F509-4FD7-0942-A283-8AD021BF3068}"/>
            </a:ext>
          </a:extLst>
        </cdr:cNvPr>
        <cdr:cNvSpPr txBox="1"/>
      </cdr:nvSpPr>
      <cdr:spPr>
        <a:xfrm xmlns:a="http://schemas.openxmlformats.org/drawingml/2006/main">
          <a:off x="4068817" y="1922955"/>
          <a:ext cx="448880" cy="2080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1:2</a:t>
          </a:r>
        </a:p>
      </cdr:txBody>
    </cdr:sp>
  </cdr:relSizeAnchor>
  <cdr:relSizeAnchor xmlns:cdr="http://schemas.openxmlformats.org/drawingml/2006/chartDrawing">
    <cdr:from>
      <cdr:x>0.69739</cdr:x>
      <cdr:y>0.37802</cdr:y>
    </cdr:from>
    <cdr:to>
      <cdr:x>0.75615</cdr:x>
      <cdr:y>0.41622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7FA5F509-4FD7-0942-A283-8AD021BF3068}"/>
            </a:ext>
          </a:extLst>
        </cdr:cNvPr>
        <cdr:cNvSpPr txBox="1"/>
      </cdr:nvSpPr>
      <cdr:spPr>
        <a:xfrm xmlns:a="http://schemas.openxmlformats.org/drawingml/2006/main">
          <a:off x="5327869" y="2708164"/>
          <a:ext cx="448880" cy="2737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2:1</a:t>
          </a:r>
        </a:p>
      </cdr:txBody>
    </cdr:sp>
  </cdr:relSizeAnchor>
  <cdr:relSizeAnchor xmlns:cdr="http://schemas.openxmlformats.org/drawingml/2006/chartDrawing">
    <cdr:from>
      <cdr:x>0.78768</cdr:x>
      <cdr:y>0.50529</cdr:y>
    </cdr:from>
    <cdr:to>
      <cdr:x>0.84643</cdr:x>
      <cdr:y>0.54349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16D5C253-2CC0-A642-9717-9A1D1B84C01A}"/>
            </a:ext>
          </a:extLst>
        </cdr:cNvPr>
        <cdr:cNvSpPr txBox="1"/>
      </cdr:nvSpPr>
      <cdr:spPr>
        <a:xfrm xmlns:a="http://schemas.openxmlformats.org/drawingml/2006/main">
          <a:off x="6017611" y="3619938"/>
          <a:ext cx="448880" cy="2737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4:1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463872</xdr:colOff>
      <xdr:row>6</xdr:row>
      <xdr:rowOff>199755</xdr:rowOff>
    </xdr:from>
    <xdr:to>
      <xdr:col>23</xdr:col>
      <xdr:colOff>484321</xdr:colOff>
      <xdr:row>28</xdr:row>
      <xdr:rowOff>161440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0321F-7509-6942-9D97-6C9A99378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813646</xdr:colOff>
      <xdr:row>1</xdr:row>
      <xdr:rowOff>10159</xdr:rowOff>
    </xdr:from>
    <xdr:to>
      <xdr:col>20</xdr:col>
      <xdr:colOff>798406</xdr:colOff>
      <xdr:row>20</xdr:row>
      <xdr:rowOff>132080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E150D7-A705-6146-82CD-8DAB17AF0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190500</xdr:colOff>
      <xdr:row>30</xdr:row>
      <xdr:rowOff>114300</xdr:rowOff>
    </xdr:from>
    <xdr:to>
      <xdr:col>22</xdr:col>
      <xdr:colOff>304086</xdr:colOff>
      <xdr:row>55</xdr:row>
      <xdr:rowOff>171577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4E03F3-C2EC-744A-A3BD-C4361F62E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677333</xdr:colOff>
      <xdr:row>47</xdr:row>
      <xdr:rowOff>110066</xdr:rowOff>
    </xdr:from>
    <xdr:to>
      <xdr:col>9</xdr:col>
      <xdr:colOff>541866</xdr:colOff>
      <xdr:row>68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8437DA-5096-E548-9098-1C0803A68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211667</xdr:colOff>
      <xdr:row>73</xdr:row>
      <xdr:rowOff>87387</xdr:rowOff>
    </xdr:from>
    <xdr:to>
      <xdr:col>17</xdr:col>
      <xdr:colOff>675821</xdr:colOff>
      <xdr:row>107</xdr:row>
      <xdr:rowOff>90715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8F0059-889B-9B46-A493-99411D29E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0.51459</cdr:x>
      <cdr:y>0.45408</cdr:y>
    </cdr:from>
    <cdr:to>
      <cdr:x>0.59272</cdr:x>
      <cdr:y>0.52281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6D5C253-2CC0-A642-9717-9A1D1B84C01A}"/>
            </a:ext>
          </a:extLst>
        </cdr:cNvPr>
        <cdr:cNvSpPr txBox="1"/>
      </cdr:nvSpPr>
      <cdr:spPr>
        <a:xfrm xmlns:a="http://schemas.openxmlformats.org/drawingml/2006/main">
          <a:off x="2956560" y="1808480"/>
          <a:ext cx="448880" cy="2737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2:1</a:t>
          </a:r>
        </a:p>
      </cdr:txBody>
    </cdr:sp>
  </cdr:relSizeAnchor>
  <cdr:relSizeAnchor xmlns:cdr="http://schemas.openxmlformats.org/drawingml/2006/chartDrawing">
    <cdr:from>
      <cdr:x>0.67905</cdr:x>
      <cdr:y>0.55357</cdr:y>
    </cdr:from>
    <cdr:to>
      <cdr:x>0.75717</cdr:x>
      <cdr:y>0.6223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16D5C253-2CC0-A642-9717-9A1D1B84C01A}"/>
            </a:ext>
          </a:extLst>
        </cdr:cNvPr>
        <cdr:cNvSpPr txBox="1"/>
      </cdr:nvSpPr>
      <cdr:spPr>
        <a:xfrm xmlns:a="http://schemas.openxmlformats.org/drawingml/2006/main">
          <a:off x="3901440" y="2204720"/>
          <a:ext cx="448880" cy="2737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4:1</a:t>
          </a:r>
        </a:p>
      </cdr:txBody>
    </cdr:sp>
  </cdr:relSizeAnchor>
  <cdr:relSizeAnchor xmlns:cdr="http://schemas.openxmlformats.org/drawingml/2006/chartDrawing">
    <cdr:from>
      <cdr:x>0.42087</cdr:x>
      <cdr:y>0.3648</cdr:y>
    </cdr:from>
    <cdr:to>
      <cdr:x>0.49899</cdr:x>
      <cdr:y>0.43352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16D5C253-2CC0-A642-9717-9A1D1B84C01A}"/>
            </a:ext>
          </a:extLst>
        </cdr:cNvPr>
        <cdr:cNvSpPr txBox="1"/>
      </cdr:nvSpPr>
      <cdr:spPr>
        <a:xfrm xmlns:a="http://schemas.openxmlformats.org/drawingml/2006/main">
          <a:off x="2418080" y="1452880"/>
          <a:ext cx="448880" cy="2737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N</a:t>
          </a:r>
        </a:p>
      </cdr:txBody>
    </cdr:sp>
  </cdr:relSizeAnchor>
  <cdr:relSizeAnchor xmlns:cdr="http://schemas.openxmlformats.org/drawingml/2006/chartDrawing">
    <cdr:from>
      <cdr:x>0.30062</cdr:x>
      <cdr:y>0.29337</cdr:y>
    </cdr:from>
    <cdr:to>
      <cdr:x>0.37875</cdr:x>
      <cdr:y>0.36209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16D5C253-2CC0-A642-9717-9A1D1B84C01A}"/>
            </a:ext>
          </a:extLst>
        </cdr:cNvPr>
        <cdr:cNvSpPr txBox="1"/>
      </cdr:nvSpPr>
      <cdr:spPr>
        <a:xfrm xmlns:a="http://schemas.openxmlformats.org/drawingml/2006/main">
          <a:off x="1727200" y="1168400"/>
          <a:ext cx="448880" cy="2737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1:2</a:t>
          </a:r>
        </a:p>
      </cdr:txBody>
    </cdr:sp>
  </cdr:relSizeAnchor>
  <cdr:relSizeAnchor xmlns:cdr="http://schemas.openxmlformats.org/drawingml/2006/chartDrawing">
    <cdr:from>
      <cdr:x>0.19629</cdr:x>
      <cdr:y>0.20153</cdr:y>
    </cdr:from>
    <cdr:to>
      <cdr:x>0.27441</cdr:x>
      <cdr:y>0.27025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16D5C253-2CC0-A642-9717-9A1D1B84C01A}"/>
            </a:ext>
          </a:extLst>
        </cdr:cNvPr>
        <cdr:cNvSpPr txBox="1"/>
      </cdr:nvSpPr>
      <cdr:spPr>
        <a:xfrm xmlns:a="http://schemas.openxmlformats.org/drawingml/2006/main">
          <a:off x="1127760" y="802640"/>
          <a:ext cx="448880" cy="2737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1:4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539750</xdr:colOff>
      <xdr:row>5</xdr:row>
      <xdr:rowOff>120650</xdr:rowOff>
    </xdr:from>
    <xdr:to>
      <xdr:col>13</xdr:col>
      <xdr:colOff>158750</xdr:colOff>
      <xdr:row>19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0622F4-6EE2-8698-B7F3-6BBA7FEB0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lentina Melica" id="{08CB4378-C898-2249-97ED-518697E1165D}" userId="S::valentina.melica@umontreal.ca::1898ca07-054b-4adb-81aa-a1133672ed1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6" dT="2026-06-08T21:11:01.97" personId="{08CB4378-C898-2249-97ED-518697E1165D}" id="{DC417A3A-5BAF-0B4A-9352-44B0A91EF4BB}">
    <text>Found the assay printout and results, HD"Valentina" - HD- R- Corticosterone and Cortisol Assay -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opLeftCell="H1" zoomScale="125" zoomScaleNormal="69" workbookViewId="0">
      <selection activeCell="M3" sqref="M3:M9"/>
    </sheetView>
  </sheetViews>
  <sheetFormatPr baseColWidth="10" defaultRowHeight="16" x14ac:dyDescent="0.2"/>
  <sheetData>
    <row r="1" spans="1:16" x14ac:dyDescent="0.2">
      <c r="J1" t="s">
        <v>8</v>
      </c>
      <c r="L1" t="s">
        <v>12</v>
      </c>
      <c r="O1" t="s">
        <v>13</v>
      </c>
    </row>
    <row r="2" spans="1:16" x14ac:dyDescent="0.2">
      <c r="A2" t="s">
        <v>0</v>
      </c>
      <c r="B2" t="s">
        <v>1</v>
      </c>
      <c r="D2" t="s">
        <v>6</v>
      </c>
      <c r="E2" t="s">
        <v>7</v>
      </c>
      <c r="J2" t="s">
        <v>2</v>
      </c>
      <c r="K2" t="s">
        <v>9</v>
      </c>
      <c r="L2" t="s">
        <v>10</v>
      </c>
      <c r="M2" t="s">
        <v>11</v>
      </c>
      <c r="O2" t="s">
        <v>10</v>
      </c>
      <c r="P2" t="s">
        <v>11</v>
      </c>
    </row>
    <row r="3" spans="1:16" x14ac:dyDescent="0.2">
      <c r="A3" t="s">
        <v>2</v>
      </c>
      <c r="B3" t="s">
        <v>3</v>
      </c>
      <c r="C3" t="s">
        <v>15</v>
      </c>
      <c r="J3">
        <v>0</v>
      </c>
      <c r="K3">
        <v>0</v>
      </c>
      <c r="L3">
        <v>26.52</v>
      </c>
      <c r="M3">
        <v>0</v>
      </c>
      <c r="O3">
        <v>21.52</v>
      </c>
      <c r="P3">
        <v>0</v>
      </c>
    </row>
    <row r="4" spans="1:16" x14ac:dyDescent="0.2">
      <c r="A4">
        <v>0</v>
      </c>
      <c r="B4" s="2">
        <v>0</v>
      </c>
      <c r="J4">
        <v>3.9</v>
      </c>
      <c r="K4">
        <f>J4/2</f>
        <v>1.95</v>
      </c>
      <c r="L4">
        <v>27.16</v>
      </c>
      <c r="M4">
        <f>L4-$L$3</f>
        <v>0.64000000000000057</v>
      </c>
      <c r="O4">
        <v>18.8</v>
      </c>
      <c r="P4">
        <f>O4-$O$3</f>
        <v>-2.7199999999999989</v>
      </c>
    </row>
    <row r="5" spans="1:16" x14ac:dyDescent="0.2">
      <c r="A5">
        <v>3.9</v>
      </c>
      <c r="B5" s="2">
        <f>LOG10(A5)</f>
        <v>0.59106460702649921</v>
      </c>
      <c r="C5">
        <v>0.86099999999999999</v>
      </c>
      <c r="J5">
        <v>15.62</v>
      </c>
      <c r="K5">
        <f t="shared" ref="K5:K9" si="0">J5/2</f>
        <v>7.81</v>
      </c>
      <c r="L5">
        <v>25.8</v>
      </c>
      <c r="M5">
        <f t="shared" ref="M5:M9" si="1">L5-$L$3</f>
        <v>-0.71999999999999886</v>
      </c>
      <c r="O5">
        <v>18.391999999999999</v>
      </c>
      <c r="P5">
        <f t="shared" ref="P5:P9" si="2">O5-$O$3</f>
        <v>-3.1280000000000001</v>
      </c>
    </row>
    <row r="6" spans="1:16" x14ac:dyDescent="0.2">
      <c r="A6">
        <f>A5*2</f>
        <v>7.8</v>
      </c>
      <c r="B6" s="2">
        <f t="shared" ref="B6:B15" si="3">LOG10(A6)</f>
        <v>0.89209460269048035</v>
      </c>
      <c r="J6">
        <v>62.5</v>
      </c>
      <c r="K6">
        <f t="shared" si="0"/>
        <v>31.25</v>
      </c>
      <c r="L6">
        <v>49.6</v>
      </c>
      <c r="M6">
        <f t="shared" si="1"/>
        <v>23.080000000000002</v>
      </c>
      <c r="O6">
        <v>29.4</v>
      </c>
      <c r="P6">
        <f t="shared" si="2"/>
        <v>7.879999999999999</v>
      </c>
    </row>
    <row r="7" spans="1:16" x14ac:dyDescent="0.2">
      <c r="A7">
        <v>15.62</v>
      </c>
      <c r="B7" s="2">
        <f t="shared" si="3"/>
        <v>1.1936810295412814</v>
      </c>
      <c r="C7">
        <v>0.77500000000000002</v>
      </c>
      <c r="E7" s="1">
        <v>0.88949999999999996</v>
      </c>
      <c r="J7">
        <v>250</v>
      </c>
      <c r="K7">
        <f t="shared" si="0"/>
        <v>125</v>
      </c>
      <c r="L7">
        <v>170.08</v>
      </c>
      <c r="M7">
        <f t="shared" si="1"/>
        <v>143.56</v>
      </c>
      <c r="O7">
        <v>103.84</v>
      </c>
      <c r="P7">
        <f t="shared" si="2"/>
        <v>82.320000000000007</v>
      </c>
    </row>
    <row r="8" spans="1:16" x14ac:dyDescent="0.2">
      <c r="A8">
        <f>A7*2</f>
        <v>31.24</v>
      </c>
      <c r="B8" s="2">
        <f t="shared" si="3"/>
        <v>1.4947110252052627</v>
      </c>
      <c r="D8">
        <v>0.81599999999999995</v>
      </c>
      <c r="E8" s="1">
        <v>0.89749999999999996</v>
      </c>
      <c r="J8">
        <v>1000</v>
      </c>
      <c r="K8">
        <f t="shared" si="0"/>
        <v>500</v>
      </c>
      <c r="L8">
        <v>684</v>
      </c>
      <c r="M8">
        <f t="shared" si="1"/>
        <v>657.48</v>
      </c>
      <c r="O8">
        <v>587.20000000000005</v>
      </c>
      <c r="P8">
        <f t="shared" si="2"/>
        <v>565.68000000000006</v>
      </c>
    </row>
    <row r="9" spans="1:16" x14ac:dyDescent="0.2">
      <c r="A9">
        <v>62.5</v>
      </c>
      <c r="B9" s="2">
        <f t="shared" si="3"/>
        <v>1.7958800173440752</v>
      </c>
      <c r="C9">
        <v>0.56599999999999995</v>
      </c>
      <c r="D9">
        <v>0.71299999999999997</v>
      </c>
      <c r="E9" s="1">
        <v>0.76649999999999996</v>
      </c>
      <c r="J9">
        <v>4000</v>
      </c>
      <c r="K9">
        <f t="shared" si="0"/>
        <v>2000</v>
      </c>
      <c r="L9">
        <v>2666</v>
      </c>
      <c r="M9">
        <f t="shared" si="1"/>
        <v>2639.48</v>
      </c>
      <c r="O9">
        <v>2480</v>
      </c>
      <c r="P9">
        <f t="shared" si="2"/>
        <v>2458.48</v>
      </c>
    </row>
    <row r="10" spans="1:16" x14ac:dyDescent="0.2">
      <c r="A10">
        <f>A9*2</f>
        <v>125</v>
      </c>
      <c r="B10" s="2">
        <f t="shared" si="3"/>
        <v>2.0969100130080562</v>
      </c>
      <c r="D10">
        <v>0.5675</v>
      </c>
      <c r="E10" s="1">
        <v>0.78800000000000003</v>
      </c>
    </row>
    <row r="11" spans="1:16" x14ac:dyDescent="0.2">
      <c r="A11">
        <v>250</v>
      </c>
      <c r="B11" s="2">
        <f t="shared" si="3"/>
        <v>2.3979400086720375</v>
      </c>
      <c r="C11">
        <v>0.38400000000000001</v>
      </c>
      <c r="D11">
        <v>0.4425</v>
      </c>
      <c r="E11" s="1">
        <v>0.77349999999999997</v>
      </c>
    </row>
    <row r="12" spans="1:16" x14ac:dyDescent="0.2">
      <c r="A12">
        <v>500</v>
      </c>
      <c r="B12" s="2">
        <f t="shared" si="3"/>
        <v>2.6989700043360187</v>
      </c>
    </row>
    <row r="13" spans="1:16" x14ac:dyDescent="0.2">
      <c r="A13">
        <v>1000</v>
      </c>
      <c r="B13" s="2">
        <f t="shared" si="3"/>
        <v>3</v>
      </c>
      <c r="C13">
        <v>0.22</v>
      </c>
      <c r="H13">
        <v>-0.32469999999999999</v>
      </c>
      <c r="I13">
        <f>H13+H15</f>
        <v>-0.35716999999999999</v>
      </c>
    </row>
    <row r="14" spans="1:16" x14ac:dyDescent="0.2">
      <c r="A14">
        <v>2000</v>
      </c>
      <c r="B14" s="2">
        <f t="shared" si="3"/>
        <v>3.3010299956639813</v>
      </c>
      <c r="I14">
        <f>H13-H15</f>
        <v>-0.29222999999999999</v>
      </c>
    </row>
    <row r="15" spans="1:16" x14ac:dyDescent="0.2">
      <c r="A15">
        <v>4000</v>
      </c>
      <c r="B15" s="2">
        <f t="shared" si="3"/>
        <v>3.6020599913279625</v>
      </c>
      <c r="C15">
        <v>0.4425</v>
      </c>
      <c r="H15">
        <f>H13*10/100</f>
        <v>-3.2469999999999999E-2</v>
      </c>
      <c r="I15" t="s">
        <v>16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3526-03AA-D545-83A0-4675C6A2B174}">
  <dimension ref="A1:H15"/>
  <sheetViews>
    <sheetView topLeftCell="B1" zoomScale="75" workbookViewId="0">
      <selection activeCell="I32" sqref="I32"/>
    </sheetView>
  </sheetViews>
  <sheetFormatPr baseColWidth="10" defaultRowHeight="16" x14ac:dyDescent="0.2"/>
  <cols>
    <col min="1" max="1" width="15.83203125" customWidth="1"/>
  </cols>
  <sheetData>
    <row r="1" spans="1:8" x14ac:dyDescent="0.2">
      <c r="A1" t="s">
        <v>0</v>
      </c>
      <c r="B1" t="s">
        <v>1</v>
      </c>
      <c r="D1" t="s">
        <v>6</v>
      </c>
      <c r="E1" t="s">
        <v>7</v>
      </c>
    </row>
    <row r="2" spans="1:8" x14ac:dyDescent="0.2">
      <c r="A2" t="s">
        <v>2</v>
      </c>
      <c r="B2" t="s">
        <v>3</v>
      </c>
      <c r="C2" t="s">
        <v>15</v>
      </c>
      <c r="D2" t="s">
        <v>6</v>
      </c>
      <c r="E2" t="s">
        <v>7</v>
      </c>
      <c r="G2" t="s">
        <v>6</v>
      </c>
      <c r="H2" t="s">
        <v>7</v>
      </c>
    </row>
    <row r="3" spans="1:8" x14ac:dyDescent="0.2">
      <c r="A3" s="3">
        <v>0</v>
      </c>
      <c r="B3" s="2">
        <v>0</v>
      </c>
      <c r="C3">
        <v>0.875</v>
      </c>
      <c r="F3">
        <f>C3/$C$3*100</f>
        <v>100</v>
      </c>
    </row>
    <row r="4" spans="1:8" x14ac:dyDescent="0.2">
      <c r="A4" s="3">
        <v>3.9060000000000001</v>
      </c>
      <c r="B4" s="2">
        <f>LOG10(A4)</f>
        <v>0.59173223895183558</v>
      </c>
      <c r="C4">
        <v>0.82099999999999995</v>
      </c>
      <c r="F4">
        <f t="shared" ref="F4:F14" si="0">C4/$C$3*100</f>
        <v>93.828571428571422</v>
      </c>
    </row>
    <row r="5" spans="1:8" x14ac:dyDescent="0.2">
      <c r="A5" s="3">
        <f>A4*2</f>
        <v>7.8120000000000003</v>
      </c>
      <c r="B5" s="2">
        <f t="shared" ref="B5:B14" si="1">LOG10(A5)</f>
        <v>0.89276223461581683</v>
      </c>
    </row>
    <row r="6" spans="1:8" x14ac:dyDescent="0.2">
      <c r="A6" s="3">
        <f>A5*2</f>
        <v>15.624000000000001</v>
      </c>
      <c r="B6" s="2">
        <f t="shared" si="1"/>
        <v>1.1937922302797981</v>
      </c>
      <c r="C6">
        <v>0.746</v>
      </c>
      <c r="F6">
        <f t="shared" si="0"/>
        <v>85.257142857142853</v>
      </c>
    </row>
    <row r="7" spans="1:8" x14ac:dyDescent="0.2">
      <c r="A7" s="3">
        <f t="shared" ref="A7:A14" si="2">A6*2</f>
        <v>31.248000000000001</v>
      </c>
      <c r="B7" s="2">
        <f t="shared" si="1"/>
        <v>1.4948222259437791</v>
      </c>
      <c r="D7">
        <v>0.63</v>
      </c>
      <c r="E7" s="1">
        <v>0.71950000000000003</v>
      </c>
      <c r="G7">
        <f t="shared" ref="G7:G10" si="3">D7/$C$3*100</f>
        <v>72</v>
      </c>
      <c r="H7">
        <f t="shared" ref="H7:H11" si="4">E7/$C$3*100</f>
        <v>82.228571428571428</v>
      </c>
    </row>
    <row r="8" spans="1:8" x14ac:dyDescent="0.2">
      <c r="A8" s="3">
        <f t="shared" si="2"/>
        <v>62.496000000000002</v>
      </c>
      <c r="B8" s="2">
        <f t="shared" si="1"/>
        <v>1.7958522216077604</v>
      </c>
      <c r="C8">
        <v>0.59</v>
      </c>
      <c r="D8">
        <v>0.497</v>
      </c>
      <c r="E8" s="1">
        <v>0.73299999999999998</v>
      </c>
      <c r="F8">
        <f t="shared" si="0"/>
        <v>67.428571428571431</v>
      </c>
      <c r="G8">
        <f t="shared" si="3"/>
        <v>56.8</v>
      </c>
      <c r="H8">
        <f t="shared" si="4"/>
        <v>83.771428571428572</v>
      </c>
    </row>
    <row r="9" spans="1:8" x14ac:dyDescent="0.2">
      <c r="A9" s="3">
        <f t="shared" si="2"/>
        <v>124.992</v>
      </c>
      <c r="B9" s="2">
        <f t="shared" si="1"/>
        <v>2.0968822172717414</v>
      </c>
      <c r="D9">
        <v>0.35249999999999998</v>
      </c>
      <c r="E9" s="1">
        <v>0.64800000000000002</v>
      </c>
      <c r="F9">
        <f t="shared" si="0"/>
        <v>0</v>
      </c>
      <c r="G9">
        <f t="shared" si="3"/>
        <v>40.285714285714285</v>
      </c>
      <c r="H9">
        <f t="shared" si="4"/>
        <v>74.05714285714285</v>
      </c>
    </row>
    <row r="10" spans="1:8" x14ac:dyDescent="0.2">
      <c r="A10" s="3">
        <f t="shared" si="2"/>
        <v>249.98400000000001</v>
      </c>
      <c r="B10" s="2">
        <f t="shared" si="1"/>
        <v>2.3979122129357227</v>
      </c>
      <c r="C10">
        <v>0.41499999999999998</v>
      </c>
      <c r="D10">
        <v>7.0000000000000007E-2</v>
      </c>
      <c r="E10" s="1">
        <v>0.58599999999999997</v>
      </c>
      <c r="F10">
        <f t="shared" si="0"/>
        <v>47.428571428571423</v>
      </c>
      <c r="G10">
        <f t="shared" si="3"/>
        <v>8</v>
      </c>
      <c r="H10">
        <f t="shared" si="4"/>
        <v>66.971428571428575</v>
      </c>
    </row>
    <row r="11" spans="1:8" x14ac:dyDescent="0.2">
      <c r="A11" s="3">
        <f t="shared" si="2"/>
        <v>499.96800000000002</v>
      </c>
      <c r="B11" s="2">
        <f t="shared" si="1"/>
        <v>2.6989422085997039</v>
      </c>
      <c r="E11" s="1">
        <v>0.42699999999999999</v>
      </c>
      <c r="H11">
        <f t="shared" si="4"/>
        <v>48.8</v>
      </c>
    </row>
    <row r="12" spans="1:8" x14ac:dyDescent="0.2">
      <c r="A12" s="3">
        <f t="shared" si="2"/>
        <v>999.93600000000004</v>
      </c>
      <c r="B12" s="2">
        <f t="shared" si="1"/>
        <v>2.9999722042636852</v>
      </c>
      <c r="C12">
        <v>0.22800000000000001</v>
      </c>
      <c r="F12">
        <f t="shared" si="0"/>
        <v>26.057142857142857</v>
      </c>
    </row>
    <row r="13" spans="1:8" x14ac:dyDescent="0.2">
      <c r="A13" s="3">
        <f t="shared" si="2"/>
        <v>1999.8720000000001</v>
      </c>
      <c r="B13" s="2">
        <f t="shared" si="1"/>
        <v>3.3010021999276664</v>
      </c>
    </row>
    <row r="14" spans="1:8" x14ac:dyDescent="0.2">
      <c r="A14" s="3">
        <f t="shared" si="2"/>
        <v>3999.7440000000001</v>
      </c>
      <c r="B14" s="2">
        <f t="shared" si="1"/>
        <v>3.6020321955916477</v>
      </c>
      <c r="C14">
        <v>0.13200000000000001</v>
      </c>
      <c r="F14">
        <f t="shared" si="0"/>
        <v>15.085714285714285</v>
      </c>
    </row>
    <row r="15" spans="1:8" x14ac:dyDescent="0.2">
      <c r="A15" s="3"/>
      <c r="B15" s="2"/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096A-1ABD-D14D-A066-55C42AF8C816}">
  <dimension ref="A1:E15"/>
  <sheetViews>
    <sheetView zoomScale="75" zoomScaleNormal="100" workbookViewId="0">
      <selection activeCell="G20" sqref="G20"/>
    </sheetView>
  </sheetViews>
  <sheetFormatPr baseColWidth="10" defaultRowHeight="16" x14ac:dyDescent="0.2"/>
  <sheetData>
    <row r="1" spans="1:5" x14ac:dyDescent="0.2">
      <c r="A1" t="s">
        <v>14</v>
      </c>
    </row>
    <row r="2" spans="1:5" x14ac:dyDescent="0.2">
      <c r="A2" t="s">
        <v>0</v>
      </c>
      <c r="B2" t="s">
        <v>1</v>
      </c>
      <c r="D2" t="s">
        <v>6</v>
      </c>
      <c r="E2" t="s">
        <v>7</v>
      </c>
    </row>
    <row r="3" spans="1:5" x14ac:dyDescent="0.2">
      <c r="A3" t="s">
        <v>2</v>
      </c>
      <c r="B3" t="s">
        <v>3</v>
      </c>
      <c r="C3" t="s">
        <v>4</v>
      </c>
      <c r="D3" t="s">
        <v>5</v>
      </c>
    </row>
    <row r="4" spans="1:5" x14ac:dyDescent="0.2">
      <c r="A4">
        <v>0</v>
      </c>
      <c r="B4" s="2">
        <v>0</v>
      </c>
    </row>
    <row r="5" spans="1:5" x14ac:dyDescent="0.2">
      <c r="A5">
        <v>3.9</v>
      </c>
      <c r="B5" s="2">
        <f>LOG10(A5)</f>
        <v>0.59106460702649921</v>
      </c>
      <c r="C5">
        <v>0.76600000000000001</v>
      </c>
    </row>
    <row r="6" spans="1:5" x14ac:dyDescent="0.2">
      <c r="A6">
        <f>A5*2</f>
        <v>7.8</v>
      </c>
      <c r="B6" s="2">
        <f t="shared" ref="B6:B15" si="0">LOG10(A6)</f>
        <v>0.89209460269048035</v>
      </c>
    </row>
    <row r="7" spans="1:5" x14ac:dyDescent="0.2">
      <c r="A7">
        <v>15.62</v>
      </c>
      <c r="B7" s="2">
        <f t="shared" si="0"/>
        <v>1.1936810295412814</v>
      </c>
      <c r="C7">
        <v>0.75</v>
      </c>
    </row>
    <row r="8" spans="1:5" x14ac:dyDescent="0.2">
      <c r="A8">
        <f>A7*2</f>
        <v>31.24</v>
      </c>
      <c r="B8" s="2">
        <f t="shared" si="0"/>
        <v>1.4947110252052627</v>
      </c>
    </row>
    <row r="9" spans="1:5" x14ac:dyDescent="0.2">
      <c r="A9">
        <v>62.5</v>
      </c>
      <c r="B9" s="2">
        <f t="shared" si="0"/>
        <v>1.7958800173440752</v>
      </c>
      <c r="C9">
        <v>0.56799999999999995</v>
      </c>
      <c r="D9">
        <v>0.80900000000000005</v>
      </c>
      <c r="E9">
        <v>0.82650000000000001</v>
      </c>
    </row>
    <row r="10" spans="1:5" x14ac:dyDescent="0.2">
      <c r="A10">
        <f>A9*2</f>
        <v>125</v>
      </c>
      <c r="B10" s="2">
        <f t="shared" si="0"/>
        <v>2.0969100130080562</v>
      </c>
      <c r="D10">
        <v>0.77100000000000002</v>
      </c>
      <c r="E10">
        <v>0.79149999999999998</v>
      </c>
    </row>
    <row r="11" spans="1:5" x14ac:dyDescent="0.2">
      <c r="A11">
        <v>250</v>
      </c>
      <c r="B11" s="2">
        <f t="shared" si="0"/>
        <v>2.3979400086720375</v>
      </c>
      <c r="C11">
        <v>0.378</v>
      </c>
      <c r="D11">
        <v>0.79700000000000004</v>
      </c>
      <c r="E11">
        <v>0.754</v>
      </c>
    </row>
    <row r="12" spans="1:5" x14ac:dyDescent="0.2">
      <c r="A12">
        <v>500</v>
      </c>
      <c r="B12" s="2">
        <f t="shared" si="0"/>
        <v>2.6989700043360187</v>
      </c>
      <c r="D12">
        <v>0.70199999999999996</v>
      </c>
      <c r="E12" s="1">
        <v>0.63700000000000001</v>
      </c>
    </row>
    <row r="13" spans="1:5" x14ac:dyDescent="0.2">
      <c r="A13">
        <v>1000</v>
      </c>
      <c r="B13" s="2">
        <f t="shared" si="0"/>
        <v>3</v>
      </c>
      <c r="C13">
        <v>0.216</v>
      </c>
      <c r="D13">
        <v>0.63300000000000001</v>
      </c>
      <c r="E13" s="1"/>
    </row>
    <row r="14" spans="1:5" x14ac:dyDescent="0.2">
      <c r="A14">
        <v>2000</v>
      </c>
      <c r="B14" s="2">
        <f t="shared" si="0"/>
        <v>3.3010299956639813</v>
      </c>
      <c r="E14" s="1"/>
    </row>
    <row r="15" spans="1:5" x14ac:dyDescent="0.2">
      <c r="A15">
        <v>4000</v>
      </c>
      <c r="B15" s="2">
        <f t="shared" si="0"/>
        <v>3.6020599913279625</v>
      </c>
      <c r="C15">
        <v>0.13100000000000001</v>
      </c>
      <c r="E15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81"/>
  <sheetViews>
    <sheetView tabSelected="1" topLeftCell="A73" zoomScaleNormal="124" workbookViewId="0">
      <selection activeCell="C75" sqref="C75:C81"/>
    </sheetView>
  </sheetViews>
  <sheetFormatPr baseColWidth="10" defaultRowHeight="16" x14ac:dyDescent="0.2"/>
  <sheetData>
    <row r="1" spans="1:32" x14ac:dyDescent="0.2">
      <c r="A1" t="s">
        <v>0</v>
      </c>
      <c r="B1" t="s">
        <v>1</v>
      </c>
      <c r="D1" t="s">
        <v>6</v>
      </c>
      <c r="E1" t="s">
        <v>7</v>
      </c>
    </row>
    <row r="2" spans="1:32" x14ac:dyDescent="0.2">
      <c r="A2" t="s">
        <v>2</v>
      </c>
      <c r="B2" t="s">
        <v>3</v>
      </c>
      <c r="C2" t="s">
        <v>15</v>
      </c>
    </row>
    <row r="3" spans="1:32" x14ac:dyDescent="0.2">
      <c r="A3" s="7">
        <v>0</v>
      </c>
      <c r="B3" s="2">
        <v>0</v>
      </c>
      <c r="C3">
        <v>0.875</v>
      </c>
    </row>
    <row r="4" spans="1:32" x14ac:dyDescent="0.2">
      <c r="A4" s="7">
        <v>3.9060000000000001</v>
      </c>
      <c r="B4" s="2">
        <f>LOG10(A4)</f>
        <v>0.59173223895183558</v>
      </c>
      <c r="C4">
        <v>0.82099999999999995</v>
      </c>
      <c r="Y4" t="s">
        <v>2</v>
      </c>
      <c r="Z4" t="s">
        <v>3</v>
      </c>
      <c r="AA4" t="s">
        <v>15</v>
      </c>
      <c r="AB4" t="s">
        <v>17</v>
      </c>
      <c r="AC4" t="s">
        <v>18</v>
      </c>
      <c r="AD4" t="s">
        <v>30</v>
      </c>
      <c r="AE4" t="s">
        <v>12</v>
      </c>
      <c r="AF4" t="s">
        <v>13</v>
      </c>
    </row>
    <row r="5" spans="1:32" x14ac:dyDescent="0.2">
      <c r="A5" s="7">
        <f>A4*2</f>
        <v>7.8120000000000003</v>
      </c>
      <c r="B5" s="2">
        <f t="shared" ref="B5:B14" si="0">LOG10(A5)</f>
        <v>0.89276223461581683</v>
      </c>
      <c r="D5">
        <v>0.79400000000000004</v>
      </c>
      <c r="E5">
        <v>0.78600000000000003</v>
      </c>
      <c r="Y5" s="3">
        <v>0</v>
      </c>
      <c r="Z5" s="2">
        <v>0</v>
      </c>
      <c r="AA5">
        <v>0.90300000000000002</v>
      </c>
      <c r="AD5">
        <f>AA5/$AA$5*100</f>
        <v>100</v>
      </c>
    </row>
    <row r="6" spans="1:32" x14ac:dyDescent="0.2">
      <c r="A6" s="7">
        <f>A5*2</f>
        <v>15.624000000000001</v>
      </c>
      <c r="B6" s="2">
        <f t="shared" si="0"/>
        <v>1.1937922302797981</v>
      </c>
      <c r="C6">
        <v>0.746</v>
      </c>
      <c r="D6">
        <v>0.66900000000000004</v>
      </c>
      <c r="E6">
        <v>0.67649999999999999</v>
      </c>
      <c r="Y6" s="3">
        <v>3.9060000000000001</v>
      </c>
      <c r="Z6" s="2">
        <f>LOG10(Y6)</f>
        <v>0.59173223895183558</v>
      </c>
      <c r="AA6">
        <v>0.97299999999999998</v>
      </c>
      <c r="AD6">
        <f t="shared" ref="AD6:AD16" si="1">AA6/$AA$5*100</f>
        <v>107.75193798449611</v>
      </c>
    </row>
    <row r="7" spans="1:32" x14ac:dyDescent="0.2">
      <c r="A7" s="7">
        <f t="shared" ref="A7:A13" si="2">A6*2</f>
        <v>31.248000000000001</v>
      </c>
      <c r="B7" s="2">
        <f t="shared" si="0"/>
        <v>1.4948222259437791</v>
      </c>
      <c r="D7">
        <v>0.59150000000000003</v>
      </c>
      <c r="E7" s="1">
        <v>0.60750000000000004</v>
      </c>
      <c r="Y7" s="3">
        <f>Y6*2</f>
        <v>7.8120000000000003</v>
      </c>
      <c r="Z7" s="2">
        <f t="shared" ref="Z7:Z16" si="3">LOG10(Y7)</f>
        <v>0.89276223461581683</v>
      </c>
      <c r="AD7">
        <f t="shared" si="1"/>
        <v>0</v>
      </c>
    </row>
    <row r="8" spans="1:32" x14ac:dyDescent="0.2">
      <c r="A8" s="7">
        <f t="shared" si="2"/>
        <v>62.496000000000002</v>
      </c>
      <c r="B8" s="2">
        <f t="shared" si="0"/>
        <v>1.7958522216077604</v>
      </c>
      <c r="C8">
        <v>0.59</v>
      </c>
      <c r="D8">
        <v>0.46800000000000003</v>
      </c>
      <c r="E8" s="1">
        <v>0.505</v>
      </c>
      <c r="Y8" s="3">
        <f>Y7*2</f>
        <v>15.624000000000001</v>
      </c>
      <c r="Z8" s="2">
        <f t="shared" si="3"/>
        <v>1.1937922302797981</v>
      </c>
      <c r="AA8">
        <v>0.872</v>
      </c>
      <c r="AD8">
        <f t="shared" si="1"/>
        <v>96.566998892580287</v>
      </c>
    </row>
    <row r="9" spans="1:32" x14ac:dyDescent="0.2">
      <c r="A9" s="7">
        <f t="shared" si="2"/>
        <v>124.992</v>
      </c>
      <c r="B9" s="2">
        <f t="shared" si="0"/>
        <v>2.0968822172717414</v>
      </c>
      <c r="D9">
        <v>0.30649999999999999</v>
      </c>
      <c r="E9" s="1">
        <v>0.34300000000000003</v>
      </c>
      <c r="Y9" s="3">
        <f t="shared" ref="Y9:Y16" si="4">Y8*2</f>
        <v>31.248000000000001</v>
      </c>
      <c r="Z9" s="2">
        <f t="shared" si="3"/>
        <v>1.4948222259437791</v>
      </c>
      <c r="AB9">
        <v>0.95399999999999996</v>
      </c>
      <c r="AC9">
        <v>0.97799999999999998</v>
      </c>
      <c r="AD9">
        <f t="shared" si="1"/>
        <v>0</v>
      </c>
      <c r="AE9">
        <f t="shared" ref="AE9:AF14" si="5">AB9/$AA$5*100</f>
        <v>105.64784053156144</v>
      </c>
      <c r="AF9">
        <f t="shared" si="5"/>
        <v>108.30564784053156</v>
      </c>
    </row>
    <row r="10" spans="1:32" x14ac:dyDescent="0.2">
      <c r="A10" s="7">
        <f t="shared" si="2"/>
        <v>249.98400000000001</v>
      </c>
      <c r="B10" s="2">
        <f t="shared" si="0"/>
        <v>2.3979122129357227</v>
      </c>
      <c r="C10">
        <v>0.41499999999999998</v>
      </c>
      <c r="E10" s="1"/>
      <c r="Y10" s="3">
        <f t="shared" si="4"/>
        <v>62.496000000000002</v>
      </c>
      <c r="Z10" s="2">
        <f t="shared" si="3"/>
        <v>1.7958522216077604</v>
      </c>
      <c r="AA10">
        <v>0.71689999999999998</v>
      </c>
      <c r="AB10">
        <v>1.06</v>
      </c>
      <c r="AC10">
        <v>0.93100000000000005</v>
      </c>
      <c r="AD10">
        <f t="shared" si="1"/>
        <v>79.390919158361015</v>
      </c>
      <c r="AE10">
        <f t="shared" si="5"/>
        <v>117.38648947951273</v>
      </c>
      <c r="AF10">
        <f t="shared" si="5"/>
        <v>103.10077519379846</v>
      </c>
    </row>
    <row r="11" spans="1:32" x14ac:dyDescent="0.2">
      <c r="A11" s="7">
        <f t="shared" si="2"/>
        <v>499.96800000000002</v>
      </c>
      <c r="B11" s="2">
        <f t="shared" si="0"/>
        <v>2.6989422085997039</v>
      </c>
      <c r="E11" s="1"/>
      <c r="Y11" s="3">
        <f t="shared" si="4"/>
        <v>124.992</v>
      </c>
      <c r="Z11" s="2">
        <f t="shared" si="3"/>
        <v>2.0968822172717414</v>
      </c>
      <c r="AB11">
        <v>0.90600000000000003</v>
      </c>
      <c r="AC11">
        <v>0.89400000000000002</v>
      </c>
      <c r="AE11">
        <f t="shared" si="5"/>
        <v>100.33222591362126</v>
      </c>
      <c r="AF11">
        <f t="shared" si="5"/>
        <v>99.003322259136212</v>
      </c>
    </row>
    <row r="12" spans="1:32" x14ac:dyDescent="0.2">
      <c r="A12" s="7">
        <f t="shared" si="2"/>
        <v>999.93600000000004</v>
      </c>
      <c r="B12" s="2">
        <f t="shared" si="0"/>
        <v>2.9999722042636852</v>
      </c>
      <c r="C12">
        <v>0.22800000000000001</v>
      </c>
      <c r="Y12" s="3">
        <f t="shared" si="4"/>
        <v>249.98400000000001</v>
      </c>
      <c r="Z12" s="2">
        <f t="shared" si="3"/>
        <v>2.3979122129357227</v>
      </c>
      <c r="AA12">
        <v>0.50600000000000001</v>
      </c>
      <c r="AB12">
        <v>0.96299999999999997</v>
      </c>
      <c r="AC12" s="1">
        <v>0.78300000000000003</v>
      </c>
      <c r="AD12">
        <f t="shared" si="1"/>
        <v>56.035437430786274</v>
      </c>
      <c r="AE12">
        <f t="shared" si="5"/>
        <v>106.64451827242524</v>
      </c>
      <c r="AF12">
        <f t="shared" si="5"/>
        <v>86.710963455149511</v>
      </c>
    </row>
    <row r="13" spans="1:32" x14ac:dyDescent="0.2">
      <c r="A13" s="7">
        <f t="shared" si="2"/>
        <v>1999.8720000000001</v>
      </c>
      <c r="B13" s="2">
        <f t="shared" si="0"/>
        <v>3.3010021999276664</v>
      </c>
      <c r="Y13" s="3">
        <f t="shared" si="4"/>
        <v>499.96800000000002</v>
      </c>
      <c r="Z13" s="2">
        <f t="shared" si="3"/>
        <v>2.6989422085997039</v>
      </c>
      <c r="AB13">
        <v>0.89200000000000002</v>
      </c>
      <c r="AC13" s="1">
        <v>0.874</v>
      </c>
      <c r="AD13">
        <f t="shared" si="1"/>
        <v>0</v>
      </c>
      <c r="AE13">
        <f t="shared" si="5"/>
        <v>98.78183831672203</v>
      </c>
      <c r="AF13">
        <f t="shared" si="5"/>
        <v>96.788482834994454</v>
      </c>
    </row>
    <row r="14" spans="1:32" x14ac:dyDescent="0.2">
      <c r="A14" s="7">
        <f>A13*2</f>
        <v>3999.7440000000001</v>
      </c>
      <c r="B14" s="2">
        <f t="shared" si="0"/>
        <v>3.6020321955916477</v>
      </c>
      <c r="C14">
        <v>0.13200000000000001</v>
      </c>
      <c r="Y14" s="3">
        <f t="shared" si="4"/>
        <v>999.93600000000004</v>
      </c>
      <c r="Z14" s="2">
        <f t="shared" si="3"/>
        <v>2.9999722042636852</v>
      </c>
      <c r="AA14">
        <v>0.28199999999999997</v>
      </c>
      <c r="AB14">
        <v>1.04</v>
      </c>
      <c r="AC14" s="1">
        <v>0.73099999999999998</v>
      </c>
      <c r="AD14">
        <f t="shared" si="1"/>
        <v>31.229235880398665</v>
      </c>
      <c r="AE14">
        <f t="shared" si="5"/>
        <v>115.17165005537097</v>
      </c>
      <c r="AF14">
        <f t="shared" si="5"/>
        <v>80.952380952380949</v>
      </c>
    </row>
    <row r="15" spans="1:32" x14ac:dyDescent="0.2">
      <c r="Y15" s="3">
        <f t="shared" si="4"/>
        <v>1999.8720000000001</v>
      </c>
      <c r="Z15" s="2">
        <f t="shared" si="3"/>
        <v>3.3010021999276664</v>
      </c>
      <c r="AD15">
        <f t="shared" si="1"/>
        <v>0</v>
      </c>
    </row>
    <row r="16" spans="1:32" x14ac:dyDescent="0.2">
      <c r="Y16" s="3">
        <f t="shared" si="4"/>
        <v>3999.7440000000001</v>
      </c>
      <c r="Z16" s="2">
        <f t="shared" si="3"/>
        <v>3.6020321955916477</v>
      </c>
      <c r="AA16">
        <v>0.17199999999999999</v>
      </c>
      <c r="AD16">
        <f t="shared" si="1"/>
        <v>19.047619047619047</v>
      </c>
    </row>
    <row r="25" spans="1:11" x14ac:dyDescent="0.2">
      <c r="A25" s="5">
        <v>43788</v>
      </c>
    </row>
    <row r="26" spans="1:11" x14ac:dyDescent="0.2">
      <c r="A26" t="s">
        <v>2</v>
      </c>
      <c r="B26" t="s">
        <v>3</v>
      </c>
      <c r="C26" t="s">
        <v>15</v>
      </c>
      <c r="D26" t="s">
        <v>17</v>
      </c>
      <c r="E26" t="s">
        <v>18</v>
      </c>
      <c r="F26" t="s">
        <v>19</v>
      </c>
      <c r="G26" t="s">
        <v>20</v>
      </c>
      <c r="I26" t="s">
        <v>22</v>
      </c>
      <c r="J26" t="s">
        <v>24</v>
      </c>
      <c r="K26" t="s">
        <v>25</v>
      </c>
    </row>
    <row r="27" spans="1:11" x14ac:dyDescent="0.2">
      <c r="A27" s="3">
        <v>0</v>
      </c>
      <c r="B27" s="2">
        <v>0</v>
      </c>
      <c r="C27">
        <v>0.90300000000000002</v>
      </c>
      <c r="I27">
        <f>C27/$C$27*100</f>
        <v>100</v>
      </c>
    </row>
    <row r="28" spans="1:11" x14ac:dyDescent="0.2">
      <c r="A28" s="3">
        <v>3.9060000000000001</v>
      </c>
      <c r="B28" s="2">
        <f>LOG10(A28)</f>
        <v>0.59173223895183558</v>
      </c>
      <c r="C28">
        <v>0.95199999999999996</v>
      </c>
      <c r="H28" t="s">
        <v>21</v>
      </c>
      <c r="I28">
        <f t="shared" ref="I28:I38" si="6">C28/$C$27*100</f>
        <v>105.42635658914728</v>
      </c>
    </row>
    <row r="29" spans="1:11" x14ac:dyDescent="0.2">
      <c r="A29" s="3">
        <f>A28*2</f>
        <v>7.8120000000000003</v>
      </c>
      <c r="B29" s="2">
        <f t="shared" ref="B29:B38" si="7">LOG10(A29)</f>
        <v>0.89276223461581683</v>
      </c>
      <c r="G29" s="8">
        <v>0.86399999999999999</v>
      </c>
      <c r="K29">
        <f t="shared" ref="K29:K34" si="8">G29/$C$27*100</f>
        <v>95.681063122923575</v>
      </c>
    </row>
    <row r="30" spans="1:11" x14ac:dyDescent="0.2">
      <c r="A30" s="3">
        <f>A29*2</f>
        <v>15.624000000000001</v>
      </c>
      <c r="B30" s="2">
        <f t="shared" si="7"/>
        <v>1.1937922302797981</v>
      </c>
      <c r="C30">
        <v>0.872</v>
      </c>
      <c r="G30" s="8">
        <v>0.91100000000000003</v>
      </c>
      <c r="I30">
        <f t="shared" si="6"/>
        <v>96.566998892580287</v>
      </c>
      <c r="K30">
        <f t="shared" si="8"/>
        <v>100.8859357696567</v>
      </c>
    </row>
    <row r="31" spans="1:11" x14ac:dyDescent="0.2">
      <c r="A31" s="3">
        <f t="shared" ref="A31:A38" si="9">A30*2</f>
        <v>31.248000000000001</v>
      </c>
      <c r="B31" s="2">
        <f t="shared" si="7"/>
        <v>1.4948222259437791</v>
      </c>
      <c r="D31">
        <v>0.95399999999999996</v>
      </c>
      <c r="E31">
        <v>0.97799999999999998</v>
      </c>
      <c r="F31">
        <v>0.89400000000000002</v>
      </c>
      <c r="G31">
        <v>0.98399999999999999</v>
      </c>
      <c r="J31">
        <f>F31/$C$27*100</f>
        <v>99.003322259136212</v>
      </c>
      <c r="K31">
        <f t="shared" si="8"/>
        <v>108.97009966777409</v>
      </c>
    </row>
    <row r="32" spans="1:11" x14ac:dyDescent="0.2">
      <c r="A32" s="3">
        <f t="shared" si="9"/>
        <v>62.496000000000002</v>
      </c>
      <c r="B32" s="2">
        <f t="shared" si="7"/>
        <v>1.7958522216077604</v>
      </c>
      <c r="C32">
        <v>0.71689999999999998</v>
      </c>
      <c r="D32">
        <v>1.06</v>
      </c>
      <c r="E32">
        <v>0.93100000000000005</v>
      </c>
      <c r="F32">
        <v>0.80300000000000005</v>
      </c>
      <c r="G32">
        <v>0.90800000000000003</v>
      </c>
      <c r="I32">
        <f t="shared" si="6"/>
        <v>79.390919158361015</v>
      </c>
      <c r="J32">
        <f t="shared" ref="J32:J36" si="10">F32/$C$27*100</f>
        <v>88.925802879291254</v>
      </c>
      <c r="K32">
        <f t="shared" si="8"/>
        <v>100.55370985603544</v>
      </c>
    </row>
    <row r="33" spans="1:11" x14ac:dyDescent="0.2">
      <c r="A33" s="3">
        <f t="shared" si="9"/>
        <v>124.992</v>
      </c>
      <c r="B33" s="2">
        <f t="shared" si="7"/>
        <v>2.0968822172717414</v>
      </c>
      <c r="E33">
        <v>0.89400000000000002</v>
      </c>
      <c r="F33">
        <v>0.79800000000000004</v>
      </c>
      <c r="G33">
        <v>0.82</v>
      </c>
      <c r="J33">
        <f t="shared" si="10"/>
        <v>88.372093023255815</v>
      </c>
      <c r="K33">
        <f t="shared" si="8"/>
        <v>90.808416389811725</v>
      </c>
    </row>
    <row r="34" spans="1:11" x14ac:dyDescent="0.2">
      <c r="A34" s="3">
        <f t="shared" si="9"/>
        <v>249.98400000000001</v>
      </c>
      <c r="B34" s="2">
        <f t="shared" si="7"/>
        <v>2.3979122129357227</v>
      </c>
      <c r="C34">
        <v>0.50600000000000001</v>
      </c>
      <c r="D34">
        <v>0.96299999999999997</v>
      </c>
      <c r="E34" s="1">
        <v>0.78300000000000003</v>
      </c>
      <c r="F34">
        <v>0.67400000000000004</v>
      </c>
      <c r="G34">
        <v>0.67</v>
      </c>
      <c r="I34">
        <f t="shared" si="6"/>
        <v>56.035437430786274</v>
      </c>
      <c r="J34">
        <f t="shared" si="10"/>
        <v>74.640088593576976</v>
      </c>
      <c r="K34">
        <f t="shared" si="8"/>
        <v>74.197120708748628</v>
      </c>
    </row>
    <row r="35" spans="1:11" x14ac:dyDescent="0.2">
      <c r="A35" s="3">
        <f t="shared" si="9"/>
        <v>499.96800000000002</v>
      </c>
      <c r="B35" s="2">
        <f t="shared" si="7"/>
        <v>2.6989422085997039</v>
      </c>
      <c r="D35">
        <v>0.89200000000000002</v>
      </c>
      <c r="E35" s="1">
        <v>0.874</v>
      </c>
      <c r="F35">
        <v>0.45400000000000001</v>
      </c>
      <c r="J35">
        <f t="shared" si="10"/>
        <v>50.27685492801772</v>
      </c>
    </row>
    <row r="36" spans="1:11" x14ac:dyDescent="0.2">
      <c r="A36" s="3">
        <f t="shared" si="9"/>
        <v>999.93600000000004</v>
      </c>
      <c r="B36" s="2">
        <f t="shared" si="7"/>
        <v>2.9999722042636852</v>
      </c>
      <c r="C36">
        <v>0.28199999999999997</v>
      </c>
      <c r="E36" s="1">
        <v>0.73099999999999998</v>
      </c>
      <c r="F36">
        <v>0.35399999999999998</v>
      </c>
      <c r="I36">
        <f t="shared" si="6"/>
        <v>31.229235880398665</v>
      </c>
      <c r="J36">
        <f t="shared" si="10"/>
        <v>39.202657807308967</v>
      </c>
    </row>
    <row r="37" spans="1:11" x14ac:dyDescent="0.2">
      <c r="A37" s="3">
        <f t="shared" si="9"/>
        <v>1999.8720000000001</v>
      </c>
      <c r="B37" s="2">
        <f t="shared" si="7"/>
        <v>3.3010021999276664</v>
      </c>
    </row>
    <row r="38" spans="1:11" x14ac:dyDescent="0.2">
      <c r="A38" s="3">
        <f t="shared" si="9"/>
        <v>3999.7440000000001</v>
      </c>
      <c r="B38" s="2">
        <f t="shared" si="7"/>
        <v>3.6020321955916477</v>
      </c>
      <c r="C38">
        <v>0.17199999999999999</v>
      </c>
      <c r="I38">
        <f t="shared" si="6"/>
        <v>19.047619047619047</v>
      </c>
    </row>
    <row r="59" spans="12:13" x14ac:dyDescent="0.2">
      <c r="L59" t="s">
        <v>23</v>
      </c>
      <c r="M59">
        <v>-0.25</v>
      </c>
    </row>
    <row r="60" spans="12:13" x14ac:dyDescent="0.2">
      <c r="L60" s="6">
        <v>0.1</v>
      </c>
      <c r="M60">
        <f>M59*10/100</f>
        <v>-2.5000000000000001E-2</v>
      </c>
    </row>
    <row r="61" spans="12:13" x14ac:dyDescent="0.2">
      <c r="M61">
        <f>M59+M60</f>
        <v>-0.27500000000000002</v>
      </c>
    </row>
    <row r="62" spans="12:13" x14ac:dyDescent="0.2">
      <c r="M62">
        <f>M59-M60</f>
        <v>-0.22500000000000001</v>
      </c>
    </row>
    <row r="71" spans="1:7" x14ac:dyDescent="0.2">
      <c r="A71" t="s">
        <v>26</v>
      </c>
    </row>
    <row r="73" spans="1:7" x14ac:dyDescent="0.2">
      <c r="A73" t="s">
        <v>8</v>
      </c>
      <c r="C73" t="s">
        <v>12</v>
      </c>
      <c r="D73" t="s">
        <v>27</v>
      </c>
      <c r="F73" t="s">
        <v>13</v>
      </c>
      <c r="G73" s="4">
        <v>4.3055555555555562E-2</v>
      </c>
    </row>
    <row r="74" spans="1:7" x14ac:dyDescent="0.2">
      <c r="A74" t="s">
        <v>2</v>
      </c>
      <c r="B74" t="s">
        <v>9</v>
      </c>
      <c r="C74" t="s">
        <v>10</v>
      </c>
      <c r="D74" t="s">
        <v>11</v>
      </c>
      <c r="F74" t="s">
        <v>10</v>
      </c>
      <c r="G74" t="s">
        <v>11</v>
      </c>
    </row>
    <row r="75" spans="1:7" x14ac:dyDescent="0.2">
      <c r="A75">
        <v>0</v>
      </c>
      <c r="B75">
        <v>0</v>
      </c>
      <c r="C75">
        <v>23.88</v>
      </c>
      <c r="D75">
        <v>0</v>
      </c>
      <c r="F75">
        <v>0</v>
      </c>
      <c r="G75">
        <v>0</v>
      </c>
    </row>
    <row r="76" spans="1:7" x14ac:dyDescent="0.2">
      <c r="A76">
        <v>3.9</v>
      </c>
      <c r="B76">
        <f>A76/2</f>
        <v>1.95</v>
      </c>
      <c r="C76">
        <v>25.4</v>
      </c>
      <c r="D76">
        <f>C76-$C$75</f>
        <v>1.5199999999999996</v>
      </c>
      <c r="F76">
        <v>1.7</v>
      </c>
      <c r="G76">
        <f>F76-$O$3</f>
        <v>1.7</v>
      </c>
    </row>
    <row r="77" spans="1:7" x14ac:dyDescent="0.2">
      <c r="A77">
        <v>15.62</v>
      </c>
      <c r="B77">
        <f t="shared" ref="B77:B81" si="11">A77/2</f>
        <v>7.81</v>
      </c>
      <c r="C77">
        <v>43.7</v>
      </c>
      <c r="D77">
        <f t="shared" ref="D77:D81" si="12">C77-$C$75</f>
        <v>19.820000000000004</v>
      </c>
      <c r="F77">
        <v>4.5999999999999996</v>
      </c>
      <c r="G77">
        <f t="shared" ref="G77:G81" si="13">F77-$O$3</f>
        <v>4.5999999999999996</v>
      </c>
    </row>
    <row r="78" spans="1:7" x14ac:dyDescent="0.2">
      <c r="A78">
        <v>62.5</v>
      </c>
      <c r="B78">
        <f t="shared" si="11"/>
        <v>31.25</v>
      </c>
      <c r="C78">
        <v>68.8</v>
      </c>
      <c r="D78">
        <f t="shared" si="12"/>
        <v>44.92</v>
      </c>
      <c r="F78">
        <v>15.6</v>
      </c>
      <c r="G78">
        <f t="shared" si="13"/>
        <v>15.6</v>
      </c>
    </row>
    <row r="79" spans="1:7" x14ac:dyDescent="0.2">
      <c r="A79">
        <v>250</v>
      </c>
      <c r="B79">
        <f t="shared" si="11"/>
        <v>125</v>
      </c>
      <c r="C79">
        <v>221.6</v>
      </c>
      <c r="D79">
        <f t="shared" si="12"/>
        <v>197.72</v>
      </c>
      <c r="F79">
        <v>119.8</v>
      </c>
      <c r="G79">
        <f t="shared" si="13"/>
        <v>119.8</v>
      </c>
    </row>
    <row r="80" spans="1:7" x14ac:dyDescent="0.2">
      <c r="A80">
        <v>1000</v>
      </c>
      <c r="B80">
        <f t="shared" si="11"/>
        <v>500</v>
      </c>
      <c r="C80">
        <v>531.70000000000005</v>
      </c>
      <c r="D80">
        <f t="shared" si="12"/>
        <v>507.82000000000005</v>
      </c>
      <c r="F80">
        <v>562.6</v>
      </c>
      <c r="G80">
        <f t="shared" si="13"/>
        <v>562.6</v>
      </c>
    </row>
    <row r="81" spans="1:7" x14ac:dyDescent="0.2">
      <c r="A81">
        <v>4000</v>
      </c>
      <c r="B81">
        <f t="shared" si="11"/>
        <v>2000</v>
      </c>
      <c r="C81">
        <v>2381</v>
      </c>
      <c r="D81">
        <f t="shared" si="12"/>
        <v>2357.12</v>
      </c>
      <c r="F81">
        <v>2036.8</v>
      </c>
      <c r="G81">
        <f t="shared" si="13"/>
        <v>2036.8</v>
      </c>
    </row>
  </sheetData>
  <phoneticPr fontId="4" type="noConversion"/>
  <pageMargins left="0.7" right="0.7" top="0.75" bottom="0.75" header="0.3" footer="0.3"/>
  <pageSetup orientation="portrait" horizontalDpi="0" verticalDpi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151F-5A3C-FF41-88DE-97D927F652F6}">
  <dimension ref="A1:D8"/>
  <sheetViews>
    <sheetView workbookViewId="0">
      <selection activeCell="D9" sqref="D9"/>
    </sheetView>
  </sheetViews>
  <sheetFormatPr baseColWidth="10" defaultRowHeight="16" x14ac:dyDescent="0.2"/>
  <sheetData>
    <row r="1" spans="1:4" x14ac:dyDescent="0.2">
      <c r="A1" t="s">
        <v>31</v>
      </c>
    </row>
    <row r="2" spans="1:4" x14ac:dyDescent="0.2">
      <c r="B2" t="s">
        <v>38</v>
      </c>
      <c r="C2" t="s">
        <v>39</v>
      </c>
      <c r="D2" t="s">
        <v>9</v>
      </c>
    </row>
    <row r="3" spans="1:4" x14ac:dyDescent="0.2">
      <c r="A3" t="s">
        <v>37</v>
      </c>
    </row>
    <row r="4" spans="1:4" x14ac:dyDescent="0.2">
      <c r="A4" t="s">
        <v>36</v>
      </c>
    </row>
    <row r="5" spans="1:4" x14ac:dyDescent="0.2">
      <c r="A5" t="s">
        <v>35</v>
      </c>
      <c r="B5">
        <v>22.34</v>
      </c>
      <c r="D5">
        <v>22.34</v>
      </c>
    </row>
    <row r="6" spans="1:4" x14ac:dyDescent="0.2">
      <c r="A6" t="s">
        <v>34</v>
      </c>
      <c r="B6">
        <v>94.67</v>
      </c>
      <c r="C6">
        <v>7.29</v>
      </c>
      <c r="D6">
        <f>D5*2</f>
        <v>44.68</v>
      </c>
    </row>
    <row r="7" spans="1:4" x14ac:dyDescent="0.2">
      <c r="A7" t="s">
        <v>33</v>
      </c>
      <c r="B7">
        <v>421.4</v>
      </c>
      <c r="C7">
        <v>16.23</v>
      </c>
      <c r="D7">
        <f>D6*2</f>
        <v>89.36</v>
      </c>
    </row>
    <row r="8" spans="1:4" x14ac:dyDescent="0.2">
      <c r="A8" t="s">
        <v>32</v>
      </c>
      <c r="B8">
        <v>911.68</v>
      </c>
      <c r="C8">
        <v>78.23</v>
      </c>
      <c r="D8">
        <f>D7*2</f>
        <v>178.72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85FE-E927-4B47-9F13-690EE8E6C01D}">
  <dimension ref="A1:C3"/>
  <sheetViews>
    <sheetView workbookViewId="0">
      <selection activeCell="C4" sqref="C4"/>
    </sheetView>
  </sheetViews>
  <sheetFormatPr baseColWidth="10" defaultRowHeight="16" x14ac:dyDescent="0.2"/>
  <sheetData>
    <row r="1" spans="1:3" x14ac:dyDescent="0.2">
      <c r="A1" t="s">
        <v>28</v>
      </c>
      <c r="B1">
        <v>6052020</v>
      </c>
      <c r="C1">
        <v>6072020</v>
      </c>
    </row>
    <row r="2" spans="1:3" x14ac:dyDescent="0.2">
      <c r="A2" t="s">
        <v>29</v>
      </c>
      <c r="B2">
        <v>0.93</v>
      </c>
      <c r="C2">
        <v>0.79</v>
      </c>
    </row>
    <row r="3" spans="1:3" x14ac:dyDescent="0.2">
      <c r="A3" s="4">
        <v>4.3055555555555562E-2</v>
      </c>
      <c r="B3">
        <v>0.95</v>
      </c>
      <c r="C3">
        <v>0.81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BW</vt:lpstr>
      <vt:lpstr>BW-2</vt:lpstr>
      <vt:lpstr>GW</vt:lpstr>
      <vt:lpstr>GW-2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Melica</dc:creator>
  <cp:lastModifiedBy>Valentina Melica</cp:lastModifiedBy>
  <cp:lastPrinted>2019-03-08T20:52:42Z</cp:lastPrinted>
  <dcterms:created xsi:type="dcterms:W3CDTF">2017-10-14T17:04:06Z</dcterms:created>
  <dcterms:modified xsi:type="dcterms:W3CDTF">2026-06-09T13:33:38Z</dcterms:modified>
</cp:coreProperties>
</file>